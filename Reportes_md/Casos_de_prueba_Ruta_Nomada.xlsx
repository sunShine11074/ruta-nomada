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  <sheet name="Métricas" sheetId="2" state="visible" r:id="rId2"/>
  </sheets>
  <definedNames>
    <definedName name="_xlnm._FilterDatabase" localSheetId="0" hidden="1">'Casos de Prueba'!$A$1:$K$66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2B5760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B5760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9D4D9"/>
      </left>
      <right style="thin">
        <color rgb="00C9D4D9"/>
      </right>
      <top style="thin">
        <color rgb="00C9D4D9"/>
      </top>
      <bottom style="thin">
        <color rgb="00C9D4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34" customWidth="1" min="4" max="4"/>
    <col width="30" customWidth="1" min="5" max="5"/>
    <col width="42" customWidth="1" min="6" max="6"/>
    <col width="27" customWidth="1" min="7" max="7"/>
    <col width="42" customWidth="1" min="8" max="8"/>
    <col width="22" customWidth="1" min="9" max="9"/>
    <col width="14" customWidth="1" min="10" max="10"/>
    <col width="26" customWidth="1" min="11" max="11"/>
  </cols>
  <sheetData>
    <row r="1" ht="28" customHeight="1">
      <c r="A1" s="1" t="inlineStr">
        <is>
          <t>ID</t>
        </is>
      </c>
      <c r="B1" s="1" t="inlineStr">
        <is>
          <t>Módulo</t>
        </is>
      </c>
      <c r="C1" s="1" t="inlineStr">
        <is>
          <t>Nombre del caso de prueba</t>
        </is>
      </c>
      <c r="D1" s="1" t="inlineStr">
        <is>
          <t>Objetivo</t>
        </is>
      </c>
      <c r="E1" s="1" t="inlineStr">
        <is>
          <t>Precondiciones</t>
        </is>
      </c>
      <c r="F1" s="1" t="inlineStr">
        <is>
          <t>Pasos a seguir</t>
        </is>
      </c>
      <c r="G1" s="1" t="inlineStr">
        <is>
          <t>Datos de prueba</t>
        </is>
      </c>
      <c r="H1" s="1" t="inlineStr">
        <is>
          <t>Resultado esperado</t>
        </is>
      </c>
      <c r="I1" s="1" t="inlineStr">
        <is>
          <t>Resultado obtenido</t>
        </is>
      </c>
      <c r="J1" s="1" t="inlineStr">
        <is>
          <t>Estado</t>
        </is>
      </c>
      <c r="K1" s="1" t="inlineStr">
        <is>
          <t>Observaciones</t>
        </is>
      </c>
    </row>
    <row r="2">
      <c r="A2" s="2" t="inlineStr">
        <is>
          <t>AUTH-01</t>
        </is>
      </c>
      <c r="B2" s="3" t="inlineStr">
        <is>
          <t>Autenticación</t>
        </is>
      </c>
      <c r="C2" s="3" t="inlineStr">
        <is>
          <t>Registro exitoso de un usuario nuevo</t>
        </is>
      </c>
      <c r="D2" s="3" t="inlineStr">
        <is>
          <t>Verificar que un usuario nuevo pueda crear su cuenta y quede autenticado.</t>
        </is>
      </c>
      <c r="E2" s="3" t="inlineStr">
        <is>
          <t>El correo a registrar no existe en la tabla usuarios. MySQL de XAMPP encendido.</t>
        </is>
      </c>
      <c r="F2" s="3" t="inlineStr">
        <is>
          <t>1. Abrir register.php.
2. Capturar nombre, correo, contraseña y confirmación.
3. Marcar la casilla de Términos de Servicio.
4. Clic en "Crear cuenta".</t>
        </is>
      </c>
      <c r="G2" s="3" t="inlineStr">
        <is>
          <t>Nombre: Ana Prueba
Correo: ana.prueba@gmail.com
Contraseña: viajera2026 (ambas)</t>
        </is>
      </c>
      <c r="H2" s="3" t="inlineStr">
        <is>
          <t>El sistema crea el usuario (vía sp_registrar_usuario), inicia sesión automáticamente y redirige a inicio.php.</t>
        </is>
      </c>
      <c r="I2" s="4" t="n"/>
      <c r="J2" s="5" t="n"/>
      <c r="K2" s="4" t="n"/>
    </row>
    <row r="3">
      <c r="A3" s="2" t="inlineStr">
        <is>
          <t>AUTH-02</t>
        </is>
      </c>
      <c r="B3" s="3" t="inlineStr">
        <is>
          <t>Autenticación</t>
        </is>
      </c>
      <c r="C3" s="3" t="inlineStr">
        <is>
          <t>Registro con correo ya existente</t>
        </is>
      </c>
      <c r="D3" s="3" t="inlineStr">
        <is>
          <t>Verificar que no se permita duplicar cuentas con el mismo correo.</t>
        </is>
      </c>
      <c r="E3" s="3" t="inlineStr">
        <is>
          <t>Existe un usuario registrado con el correo de prueba.</t>
        </is>
      </c>
      <c r="F3" s="3" t="inlineStr">
        <is>
          <t>1. Abrir register.php.
2. Capturar los datos usando un correo ya registrado.
3. Clic en "Crear cuenta".</t>
        </is>
      </c>
      <c r="G3" s="3" t="inlineStr">
        <is>
          <t>Correo: ana.prueba@gmail.com (ya registrado)</t>
        </is>
      </c>
      <c r="H3" s="3" t="inlineStr">
        <is>
          <t>El sistema muestra "El correo electrónico ya está registrado. Intenta iniciar sesión." y no crea otro usuario (el SP lanza EMAIL_DUPLICADO).</t>
        </is>
      </c>
      <c r="I3" s="4" t="n"/>
      <c r="J3" s="5" t="n"/>
      <c r="K3" s="4" t="n"/>
    </row>
    <row r="4">
      <c r="A4" s="2" t="inlineStr">
        <is>
          <t>AUTH-03</t>
        </is>
      </c>
      <c r="B4" s="3" t="inlineStr">
        <is>
          <t>Autenticación</t>
        </is>
      </c>
      <c r="C4" s="3" t="inlineStr">
        <is>
          <t>Longitud mínima de contraseña (valor frontera 5/6)</t>
        </is>
      </c>
      <c r="D4" s="3" t="inlineStr">
        <is>
          <t>Verificar la frontera de 6 caracteres en la contraseña.</t>
        </is>
      </c>
      <c r="E4" s="3" t="inlineStr">
        <is>
          <t>Ninguna.</t>
        </is>
      </c>
      <c r="F4" s="3" t="inlineStr">
        <is>
          <t>1. Abrir register.php.
2. Intentar registrar con contraseña de 5 caracteres.
3. Repetir con contraseña de 6 caracteres.</t>
        </is>
      </c>
      <c r="G4" s="3" t="inlineStr">
        <is>
          <t>Intento 1: abcde (5)
Intento 2: abcdef (6)</t>
        </is>
      </c>
      <c r="H4" s="3" t="inlineStr">
        <is>
          <t>Con 5 caracteres muestra "La contraseña debe tener al menos 6 caracteres"; con 6 caracteres el registro procede.</t>
        </is>
      </c>
      <c r="I4" s="4" t="n"/>
      <c r="J4" s="5" t="n"/>
      <c r="K4" s="4" t="n"/>
    </row>
    <row r="5">
      <c r="A5" s="2" t="inlineStr">
        <is>
          <t>AUTH-04</t>
        </is>
      </c>
      <c r="B5" s="3" t="inlineStr">
        <is>
          <t>Autenticación</t>
        </is>
      </c>
      <c r="C5" s="3" t="inlineStr">
        <is>
          <t>Contraseñas que no coinciden</t>
        </is>
      </c>
      <c r="D5" s="3" t="inlineStr">
        <is>
          <t>Verificar la comparación entre contraseña y su confirmación.</t>
        </is>
      </c>
      <c r="E5" s="3" t="inlineStr">
        <is>
          <t>Ninguna.</t>
        </is>
      </c>
      <c r="F5" s="3" t="inlineStr">
        <is>
          <t>1. Abrir register.php.
2. Capturar contraseña y una confirmación distinta.
3. Clic en "Crear cuenta".</t>
        </is>
      </c>
      <c r="G5" s="3" t="inlineStr">
        <is>
          <t>Contraseña: viajera2026
Confirmación: viajera2027</t>
        </is>
      </c>
      <c r="H5" s="3" t="inlineStr">
        <is>
          <t>El sistema muestra "Las contraseñas no coinciden" y no crea el usuario.</t>
        </is>
      </c>
      <c r="I5" s="4" t="n"/>
      <c r="J5" s="5" t="n"/>
      <c r="K5" s="4" t="n"/>
    </row>
    <row r="6">
      <c r="A6" s="2" t="inlineStr">
        <is>
          <t>AUTH-05</t>
        </is>
      </c>
      <c r="B6" s="3" t="inlineStr">
        <is>
          <t>Autenticación</t>
        </is>
      </c>
      <c r="C6" s="3" t="inlineStr">
        <is>
          <t>Inicio de sesión exitoso</t>
        </is>
      </c>
      <c r="D6" s="3" t="inlineStr">
        <is>
          <t>Verificar el acceso con credenciales válidas.</t>
        </is>
      </c>
      <c r="E6" s="3" t="inlineStr">
        <is>
          <t>El usuario de prueba existe y conoce su contraseña.</t>
        </is>
      </c>
      <c r="F6" s="3" t="inlineStr">
        <is>
          <t>1. Abrir login.php.
2. Capturar correo y contraseña correctos.
3. Clic en "Iniciar sesión".</t>
        </is>
      </c>
      <c r="G6" s="3" t="inlineStr">
        <is>
          <t>Correo: ana.prueba@gmail.com
Contraseña: viajera2026</t>
        </is>
      </c>
      <c r="H6" s="3" t="inlineStr">
        <is>
          <t>El sistema valida con password_verify, crea la sesión y redirige a inicio.php.</t>
        </is>
      </c>
      <c r="I6" s="4" t="n"/>
      <c r="J6" s="5" t="n"/>
      <c r="K6" s="4" t="n"/>
    </row>
    <row r="7">
      <c r="A7" s="2" t="inlineStr">
        <is>
          <t>AUTH-06</t>
        </is>
      </c>
      <c r="B7" s="3" t="inlineStr">
        <is>
          <t>Autenticación</t>
        </is>
      </c>
      <c r="C7" s="3" t="inlineStr">
        <is>
          <t>Inicio de sesión con contraseña incorrecta</t>
        </is>
      </c>
      <c r="D7" s="3" t="inlineStr">
        <is>
          <t>Verificar el rechazo de credenciales inválidas sin revelar cuál campo falló.</t>
        </is>
      </c>
      <c r="E7" s="3" t="inlineStr">
        <is>
          <t>El usuario de prueba existe.</t>
        </is>
      </c>
      <c r="F7" s="3" t="inlineStr">
        <is>
          <t>1. Abrir login.php.
2. Capturar el correo correcto y una contraseña errónea.
3. Clic en "Iniciar sesión".</t>
        </is>
      </c>
      <c r="G7" s="3" t="inlineStr">
        <is>
          <t>Correo: ana.prueba@gmail.com
Contraseña: incorrecta123</t>
        </is>
      </c>
      <c r="H7" s="3" t="inlineStr">
        <is>
          <t>El sistema muestra "Correo o contraseña incorrectos" y permanece en login.php sin crear sesión.</t>
        </is>
      </c>
      <c r="I7" s="4" t="n"/>
      <c r="J7" s="5" t="n"/>
      <c r="K7" s="4" t="n"/>
    </row>
    <row r="8">
      <c r="A8" s="2" t="inlineStr">
        <is>
          <t>AUTH-07</t>
        </is>
      </c>
      <c r="B8" s="3" t="inlineStr">
        <is>
          <t>Autenticación</t>
        </is>
      </c>
      <c r="C8" s="3" t="inlineStr">
        <is>
          <t>Protección de rutas sin sesión</t>
        </is>
      </c>
      <c r="D8" s="3" t="inlineStr">
        <is>
          <t>Verificar que las páginas internas exijan sesión activa.</t>
        </is>
      </c>
      <c r="E8" s="3" t="inlineStr">
        <is>
          <t>No hay sesión iniciada (navegador en incógnito o tras cerrar sesión).</t>
        </is>
      </c>
      <c r="F8" s="3" t="inlineStr">
        <is>
          <t>1. Escribir directamente en la barra de direcciones la URL de inicio.php.
2. Repetir con profile.php, mis_planes.php y crear_plan.php.</t>
        </is>
      </c>
      <c r="G8" s="3" t="inlineStr">
        <is>
          <t>URLs internas del proyecto sin haber iniciado sesión</t>
        </is>
      </c>
      <c r="H8" s="3" t="inlineStr">
        <is>
          <t>Todas las páginas redirigen a login.php sin mostrar contenido privado.</t>
        </is>
      </c>
      <c r="I8" s="4" t="n"/>
      <c r="J8" s="5" t="n"/>
      <c r="K8" s="4" t="n"/>
    </row>
    <row r="9">
      <c r="A9" s="2" t="inlineStr">
        <is>
          <t>AUTH-08</t>
        </is>
      </c>
      <c r="B9" s="3" t="inlineStr">
        <is>
          <t>Autenticación</t>
        </is>
      </c>
      <c r="C9" s="3" t="inlineStr">
        <is>
          <t>Cierre de sesión</t>
        </is>
      </c>
      <c r="D9" s="3" t="inlineStr">
        <is>
          <t>Verificar que el logout destruya la sesión.</t>
        </is>
      </c>
      <c r="E9" s="3" t="inlineStr">
        <is>
          <t>Sesión iniciada.</t>
        </is>
      </c>
      <c r="F9" s="3" t="inlineStr">
        <is>
          <t>1. Clic en el avatar del topbar.
2. Clic en "Cerrar sesión".
3. Intentar regresar con el botón Atrás y recargar inicio.php.</t>
        </is>
      </c>
      <c r="G9" s="3" t="inlineStr">
        <is>
          <t>N/A</t>
        </is>
      </c>
      <c r="H9" s="3" t="inlineStr">
        <is>
          <t>La sesión se destruye (inicio.php?logout=1) y cualquier intento de volver redirige a login.php.</t>
        </is>
      </c>
      <c r="I9" s="4" t="n"/>
      <c r="J9" s="5" t="n"/>
      <c r="K9" s="4" t="n"/>
    </row>
    <row r="10">
      <c r="A10" s="2" t="inlineStr">
        <is>
          <t>AUTH-09</t>
        </is>
      </c>
      <c r="B10" s="3" t="inlineStr">
        <is>
          <t>Autenticación</t>
        </is>
      </c>
      <c r="C10" s="3" t="inlineStr">
        <is>
          <t>Recordar correo (cookie)</t>
        </is>
      </c>
      <c r="D10" s="3" t="inlineStr">
        <is>
          <t>Verificar la persistencia del correo con la casilla "Recordar".</t>
        </is>
      </c>
      <c r="E10" s="3" t="inlineStr">
        <is>
          <t>Ninguna.</t>
        </is>
      </c>
      <c r="F10" s="3" t="inlineStr">
        <is>
          <t>1. Iniciar sesión marcando la casilla "Recordar correo".
2. Cerrar sesión.
3. Volver a abrir login.php.</t>
        </is>
      </c>
      <c r="G10" s="3" t="inlineStr">
        <is>
          <t>Correo: ana.prueba@gmail.com</t>
        </is>
      </c>
      <c r="H10" s="3" t="inlineStr">
        <is>
          <t>El campo de correo aparece pre-llenado con el correo recordado.</t>
        </is>
      </c>
      <c r="I10" s="4" t="n"/>
      <c r="J10" s="5" t="n"/>
      <c r="K10" s="4" t="n"/>
    </row>
    <row r="11">
      <c r="A11" s="2" t="inlineStr">
        <is>
          <t>PWD-01</t>
        </is>
      </c>
      <c r="B11" s="3" t="inlineStr">
        <is>
          <t>Recuperación de contraseña</t>
        </is>
      </c>
      <c r="C11" s="3" t="inlineStr">
        <is>
          <t>Solicitud de recuperación con correo registrado</t>
        </is>
      </c>
      <c r="D11" s="3" t="inlineStr">
        <is>
          <t>Verificar el envío real del correo de restablecimiento.</t>
        </is>
      </c>
      <c r="E11" s="3" t="inlineStr">
        <is>
          <t>El correo existe en usuarios; mail_config.php configurado; salida a internet.</t>
        </is>
      </c>
      <c r="F11" s="3" t="inlineStr">
        <is>
          <t>1. En login.php, clic en "¿Olvidaste tu contraseña?".
2. Capturar el correo registrado.
3. Clic en "Enviar enlace".
4. Revisar la bandeja de entrada.</t>
        </is>
      </c>
      <c r="G11" s="3" t="inlineStr">
        <is>
          <t>Correo: ana.prueba@gmail.com</t>
        </is>
      </c>
      <c r="H11" s="3" t="inlineStr">
        <is>
          <t>Se muestra el mensaje genérico de confirmación y llega un correo (PHPMailer/Gmail) con el logo y un enlace válido a reset-password.php.</t>
        </is>
      </c>
      <c r="I11" s="4" t="n"/>
      <c r="J11" s="5" t="n"/>
      <c r="K11" s="4" t="n"/>
    </row>
    <row r="12">
      <c r="A12" s="2" t="inlineStr">
        <is>
          <t>PWD-02</t>
        </is>
      </c>
      <c r="B12" s="3" t="inlineStr">
        <is>
          <t>Recuperación de contraseña</t>
        </is>
      </c>
      <c r="C12" s="3" t="inlineStr">
        <is>
          <t>Solicitud con correo NO registrado (anti-enumeración)</t>
        </is>
      </c>
      <c r="D12" s="3" t="inlineStr">
        <is>
          <t>Verificar que no se pueda deducir si una cuenta existe.</t>
        </is>
      </c>
      <c r="E12" s="3" t="inlineStr">
        <is>
          <t>El correo de prueba no existe en la BD.</t>
        </is>
      </c>
      <c r="F12" s="3" t="inlineStr">
        <is>
          <t>1. Abrir forgot-password.php.
2. Capturar un correo inexistente.
3. Clic en "Enviar enlace".</t>
        </is>
      </c>
      <c r="G12" s="3" t="inlineStr">
        <is>
          <t>Correo: noexiste.zz@gmail.com</t>
        </is>
      </c>
      <c r="H12" s="3" t="inlineStr">
        <is>
          <t>Se muestra EXACTAMENTE el mismo mensaje genérico que en PWD-01 y no se envía ningún correo.</t>
        </is>
      </c>
      <c r="I12" s="4" t="n"/>
      <c r="J12" s="5" t="n"/>
      <c r="K12" s="4" t="n"/>
    </row>
    <row r="13">
      <c r="A13" s="2" t="inlineStr">
        <is>
          <t>PWD-03</t>
        </is>
      </c>
      <c r="B13" s="3" t="inlineStr">
        <is>
          <t>Recuperación de contraseña</t>
        </is>
      </c>
      <c r="C13" s="3" t="inlineStr">
        <is>
          <t>Restablecimiento con enlace válido</t>
        </is>
      </c>
      <c r="D13" s="3" t="inlineStr">
        <is>
          <t>Verificar el cambio de contraseña con un token vigente.</t>
        </is>
      </c>
      <c r="E13" s="3" t="inlineStr">
        <is>
          <t>Se ejecutó PWD-01 hace menos de 1 hora; el enlace no se ha usado.</t>
        </is>
      </c>
      <c r="F13" s="3" t="inlineStr">
        <is>
          <t>1. Abrir el enlace del correo.
2. Capturar la nueva contraseña y su confirmación.
3. Clic en "Restablecer".
4. Iniciar sesión con la nueva contraseña.</t>
        </is>
      </c>
      <c r="G13" s="3" t="inlineStr">
        <is>
          <t>Nueva contraseña: nomada2026</t>
        </is>
      </c>
      <c r="H13" s="3" t="inlineStr">
        <is>
          <t>La contraseña se actualiza, el token se marca como usado y el login funciona con la nueva contraseña.</t>
        </is>
      </c>
      <c r="I13" s="4" t="n"/>
      <c r="J13" s="5" t="n"/>
      <c r="K13" s="4" t="n"/>
    </row>
    <row r="14">
      <c r="A14" s="2" t="inlineStr">
        <is>
          <t>PWD-04</t>
        </is>
      </c>
      <c r="B14" s="3" t="inlineStr">
        <is>
          <t>Recuperación de contraseña</t>
        </is>
      </c>
      <c r="C14" s="3" t="inlineStr">
        <is>
          <t>Reutilización de un token ya usado</t>
        </is>
      </c>
      <c r="D14" s="3" t="inlineStr">
        <is>
          <t>Verificar que el enlace sea de un solo uso.</t>
        </is>
      </c>
      <c r="E14" s="3" t="inlineStr">
        <is>
          <t>Se completó PWD-03 con ese mismo enlace.</t>
        </is>
      </c>
      <c r="F14" s="3" t="inlineStr">
        <is>
          <t>1. Volver a abrir el mismo enlace del correo.
2. Intentar capturar otra contraseña.</t>
        </is>
      </c>
      <c r="G14" s="3" t="inlineStr">
        <is>
          <t>El mismo enlace de PWD-03</t>
        </is>
      </c>
      <c r="H14" s="3" t="inlineStr">
        <is>
          <t>El sistema muestra "Enlace inválido o expirado" y no permite cambiar la contraseña.</t>
        </is>
      </c>
      <c r="I14" s="4" t="n"/>
      <c r="J14" s="5" t="n"/>
      <c r="K14" s="4" t="n"/>
    </row>
    <row r="15">
      <c r="A15" s="2" t="inlineStr">
        <is>
          <t>PWD-05</t>
        </is>
      </c>
      <c r="B15" s="3" t="inlineStr">
        <is>
          <t>Recuperación de contraseña</t>
        </is>
      </c>
      <c r="C15" s="3" t="inlineStr">
        <is>
          <t>Token expirado (más de 1 hora)</t>
        </is>
      </c>
      <c r="D15" s="3" t="inlineStr">
        <is>
          <t>Verificar la caducidad del token.</t>
        </is>
      </c>
      <c r="E15" s="3" t="inlineStr">
        <is>
          <t>Existe una solicitud con más de 1 hora de antigüedad (o se ajusta expira_en en la BD para simularlo).</t>
        </is>
      </c>
      <c r="F15" s="3" t="inlineStr">
        <is>
          <t>1. Abrir el enlace con el token caducado.</t>
        </is>
      </c>
      <c r="G15" s="3" t="inlineStr">
        <is>
          <t>UPDATE password_resets SET expira_en = NOW() - INTERVAL 2 HOUR (simulación)</t>
        </is>
      </c>
      <c r="H15" s="3" t="inlineStr">
        <is>
          <t>El sistema rechaza el enlace con el mensaje de inválido/expirado.</t>
        </is>
      </c>
      <c r="I15" s="4" t="n"/>
      <c r="J15" s="5" t="n"/>
      <c r="K15" s="4" t="n"/>
    </row>
    <row r="16">
      <c r="A16" s="2" t="inlineStr">
        <is>
          <t>PWD-06</t>
        </is>
      </c>
      <c r="B16" s="3" t="inlineStr">
        <is>
          <t>Recuperación de contraseña</t>
        </is>
      </c>
      <c r="C16" s="3" t="inlineStr">
        <is>
          <t>Token manipulado en la URL</t>
        </is>
      </c>
      <c r="D16" s="3" t="inlineStr">
        <is>
          <t>Verificar que un token alterado no sea aceptado.</t>
        </is>
      </c>
      <c r="E16" s="3" t="inlineStr">
        <is>
          <t>Existe una solicitud vigente.</t>
        </is>
      </c>
      <c r="F16" s="3" t="inlineStr">
        <is>
          <t>1. Copiar el enlace del correo.
2. Cambiar 2-3 caracteres del token en la URL.
3. Abrir la URL alterada.</t>
        </is>
      </c>
      <c r="G16" s="3" t="inlineStr">
        <is>
          <t>token=abc123... → token=abc999...</t>
        </is>
      </c>
      <c r="H16" s="3" t="inlineStr">
        <is>
          <t>El sistema rechaza el enlace (el hash SHA-256 no coincide con ninguno vigente).</t>
        </is>
      </c>
      <c r="I16" s="4" t="n"/>
      <c r="J16" s="5" t="n"/>
      <c r="K16" s="4" t="n"/>
    </row>
    <row r="17">
      <c r="A17" s="2" t="inlineStr">
        <is>
          <t>PRF-01</t>
        </is>
      </c>
      <c r="B17" s="3" t="inlineStr">
        <is>
          <t>Perfil (validación de campos)</t>
        </is>
      </c>
      <c r="C17" s="3" t="inlineStr">
        <is>
          <t>Nombre con números o símbolos</t>
        </is>
      </c>
      <c r="D17" s="3" t="inlineStr">
        <is>
          <t>Verificar que nombre y apellidos solo acepten letras.</t>
        </is>
      </c>
      <c r="E17" s="3" t="inlineStr">
        <is>
          <t>Sesión iniciada; profile.php abierto.</t>
        </is>
      </c>
      <c r="F17" s="3" t="inlineStr">
        <is>
          <t>1. Capturar un nombre con dígitos.
2. Guardar los cambios.</t>
        </is>
      </c>
      <c r="G17" s="3" t="inlineStr">
        <is>
          <t>Nombre: Ramon123</t>
        </is>
      </c>
      <c r="H17" s="3" t="inlineStr">
        <is>
          <t>Aparece el texto rojo de error bajo el campo (solo letras, espacios, apóstrofes y guiones) y no se guarda.</t>
        </is>
      </c>
      <c r="I17" s="4" t="n"/>
      <c r="J17" s="5" t="n"/>
      <c r="K17" s="4" t="n"/>
    </row>
    <row r="18">
      <c r="A18" s="2" t="inlineStr">
        <is>
          <t>PRF-02</t>
        </is>
      </c>
      <c r="B18" s="3" t="inlineStr">
        <is>
          <t>Perfil (validación de campos)</t>
        </is>
      </c>
      <c r="C18" s="3" t="inlineStr">
        <is>
          <t>Correo con formato inválido</t>
        </is>
      </c>
      <c r="D18" s="3" t="inlineStr">
        <is>
          <t>Verificar la validación de formato del correo.</t>
        </is>
      </c>
      <c r="E18" s="3" t="inlineStr">
        <is>
          <t>Sesión iniciada.</t>
        </is>
      </c>
      <c r="F18" s="3" t="inlineStr">
        <is>
          <t>1. Capturar un correo sin dominio completo.
2. Guardar.</t>
        </is>
      </c>
      <c r="G18" s="3" t="inlineStr">
        <is>
          <t>Correo: asdf@asdf</t>
        </is>
      </c>
      <c r="H18" s="3" t="inlineStr">
        <is>
          <t>Error rojo de formato de correo bajo el campo; no se guarda.</t>
        </is>
      </c>
      <c r="I18" s="4" t="n"/>
      <c r="J18" s="5" t="n"/>
      <c r="K18" s="4" t="n"/>
    </row>
    <row r="19">
      <c r="A19" s="2" t="inlineStr">
        <is>
          <t>PRF-03</t>
        </is>
      </c>
      <c r="B19" s="3" t="inlineStr">
        <is>
          <t>Perfil (validación de campos)</t>
        </is>
      </c>
      <c r="C19" s="3" t="inlineStr">
        <is>
          <t>Correo con dominio inexistente (verificación MX)</t>
        </is>
      </c>
      <c r="D19" s="3" t="inlineStr">
        <is>
          <t>Verificar que el dominio del correo reciba correo realmente.</t>
        </is>
      </c>
      <c r="E19" s="3" t="inlineStr">
        <is>
          <t>Sesión iniciada; el servidor tiene salida DNS.</t>
        </is>
      </c>
      <c r="F19" s="3" t="inlineStr">
        <is>
          <t>1. Capturar un correo con dominio falso.
2. Guardar.</t>
        </is>
      </c>
      <c r="G19" s="3" t="inlineStr">
        <is>
          <t>Correo: usuario@dominiozzz.qqq</t>
        </is>
      </c>
      <c r="H19" s="3" t="inlineStr">
        <is>
          <t>El servidor rechaza con error rojo "el dominio no recibe correo" (checkdnsrr tipo MX).</t>
        </is>
      </c>
      <c r="I19" s="4" t="n"/>
      <c r="J19" s="5" t="n"/>
      <c r="K19" s="4" t="n"/>
    </row>
    <row r="20">
      <c r="A20" s="2" t="inlineStr">
        <is>
          <t>PRF-04</t>
        </is>
      </c>
      <c r="B20" s="3" t="inlineStr">
        <is>
          <t>Perfil (validación de campos)</t>
        </is>
      </c>
      <c r="C20" s="3" t="inlineStr">
        <is>
          <t>Correo válido y real</t>
        </is>
      </c>
      <c r="D20" s="3" t="inlineStr">
        <is>
          <t>Verificar el caso positivo del correo.</t>
        </is>
      </c>
      <c r="E20" s="3" t="inlineStr">
        <is>
          <t>Sesión iniciada.</t>
        </is>
      </c>
      <c r="F20" s="3" t="inlineStr">
        <is>
          <t>1. Capturar un correo real con dominio conocido.
2. Guardar.</t>
        </is>
      </c>
      <c r="G20" s="3" t="inlineStr">
        <is>
          <t>Correo: ana.prueba@gmail.com</t>
        </is>
      </c>
      <c r="H20" s="3" t="inlineStr">
        <is>
          <t>El perfil se guarda sin errores y el correo queda actualizado.</t>
        </is>
      </c>
      <c r="I20" s="4" t="n"/>
      <c r="J20" s="5" t="n"/>
      <c r="K20" s="4" t="n"/>
    </row>
    <row r="21">
      <c r="A21" s="2" t="inlineStr">
        <is>
          <t>PRF-05</t>
        </is>
      </c>
      <c r="B21" s="3" t="inlineStr">
        <is>
          <t>Perfil (validación de campos)</t>
        </is>
      </c>
      <c r="C21" s="3" t="inlineStr">
        <is>
          <t>Teléfono con 9, 10 y 11 dígitos (valor frontera)</t>
        </is>
      </c>
      <c r="D21" s="3" t="inlineStr">
        <is>
          <t>Verificar la frontera de 10 dígitos para teléfonos de México.</t>
        </is>
      </c>
      <c r="E21" s="3" t="inlineStr">
        <is>
          <t>Sesión iniciada.</t>
        </is>
      </c>
      <c r="F21" s="3" t="inlineStr">
        <is>
          <t>1. Probar guardar con 9 dígitos.
2. Probar con 10 dígitos.
3. Probar con 11 dígitos.</t>
        </is>
      </c>
      <c r="G21" s="3" t="inlineStr">
        <is>
          <t>1) 444123456 (9)
2) 4441234567 (10)
3) 44412345678 (11)</t>
        </is>
      </c>
      <c r="H21" s="3" t="inlineStr">
        <is>
          <t>9 y 11 dígitos se rechazan con error rojo; 10 dígitos se acepta.</t>
        </is>
      </c>
      <c r="I21" s="4" t="n"/>
      <c r="J21" s="5" t="n"/>
      <c r="K21" s="4" t="n"/>
    </row>
    <row r="22">
      <c r="A22" s="2" t="inlineStr">
        <is>
          <t>PRF-06</t>
        </is>
      </c>
      <c r="B22" s="3" t="inlineStr">
        <is>
          <t>Perfil (validación de campos)</t>
        </is>
      </c>
      <c r="C22" s="3" t="inlineStr">
        <is>
          <t>Teléfono de 12 dígitos con y sin lada 52 (partición)</t>
        </is>
      </c>
      <c r="D22" s="3" t="inlineStr">
        <is>
          <t>Verificar que 12 dígitos solo sea válido con prefijo 52.</t>
        </is>
      </c>
      <c r="E22" s="3" t="inlineStr">
        <is>
          <t>Sesión iniciada.</t>
        </is>
      </c>
      <c r="F22" s="3" t="inlineStr">
        <is>
          <t>1. Probar guardar 12 dígitos que empiecen con 52.
2. Probar 12 dígitos que NO empiecen con 52.</t>
        </is>
      </c>
      <c r="G22" s="3" t="inlineStr">
        <is>
          <t>1) 524441234567
2) 654441234567</t>
        </is>
      </c>
      <c r="H22" s="3" t="inlineStr">
        <is>
          <t>Con 52 se acepta; sin 52 se rechaza con error rojo.</t>
        </is>
      </c>
      <c r="I22" s="4" t="n"/>
      <c r="J22" s="5" t="n"/>
      <c r="K22" s="4" t="n"/>
    </row>
    <row r="23">
      <c r="A23" s="2" t="inlineStr">
        <is>
          <t>PRF-07</t>
        </is>
      </c>
      <c r="B23" s="3" t="inlineStr">
        <is>
          <t>Perfil (validación de campos)</t>
        </is>
      </c>
      <c r="C23" s="3" t="inlineStr">
        <is>
          <t>Teléfono con espacios y guiones (normalización)</t>
        </is>
      </c>
      <c r="D23" s="3" t="inlineStr">
        <is>
          <t>Verificar que separadores comunes no invaliden el número.</t>
        </is>
      </c>
      <c r="E23" s="3" t="inlineStr">
        <is>
          <t>Sesión iniciada.</t>
        </is>
      </c>
      <c r="F23" s="3" t="inlineStr">
        <is>
          <t>1. Capturar el teléfono con espacios o guiones.
2. Guardar.</t>
        </is>
      </c>
      <c r="G23" s="3" t="inlineStr">
        <is>
          <t>Teléfono: 444 123-4567</t>
        </is>
      </c>
      <c r="H23" s="3" t="inlineStr">
        <is>
          <t>El número se acepta (se normaliza a 10 dígitos antes de validar).</t>
        </is>
      </c>
      <c r="I23" s="4" t="n"/>
      <c r="J23" s="5" t="n"/>
      <c r="K23" s="4" t="n"/>
    </row>
    <row r="24">
      <c r="A24" s="2" t="inlineStr">
        <is>
          <t>PRF-08</t>
        </is>
      </c>
      <c r="B24" s="3" t="inlineStr">
        <is>
          <t>Perfil (validación de campos)</t>
        </is>
      </c>
      <c r="C24" s="3" t="inlineStr">
        <is>
          <t>Fecha de nacimiento futura</t>
        </is>
      </c>
      <c r="D24" s="3" t="inlineStr">
        <is>
          <t>Verificar el límite superior de la fecha (hoy).</t>
        </is>
      </c>
      <c r="E24" s="3" t="inlineStr">
        <is>
          <t>Sesión iniciada.</t>
        </is>
      </c>
      <c r="F24" s="3" t="inlineStr">
        <is>
          <t>1. Abrir el calendario de fecha de nacimiento.
2. Intentar elegir una fecha posterior a hoy.
3. Forzar el valor por POST si el calendario la bloquea.</t>
        </is>
      </c>
      <c r="G24" s="3" t="inlineStr">
        <is>
          <t>Fecha: mañana (p. ej. 2026-07-16)</t>
        </is>
      </c>
      <c r="H24" s="3" t="inlineStr">
        <is>
          <t>El calendario deshabilita fechas futuras y el servidor rechaza el valor forzado con error rojo.</t>
        </is>
      </c>
      <c r="I24" s="4" t="n"/>
      <c r="J24" s="5" t="n"/>
      <c r="K24" s="4" t="n"/>
    </row>
    <row r="25">
      <c r="A25" s="2" t="inlineStr">
        <is>
          <t>PRF-09</t>
        </is>
      </c>
      <c r="B25" s="3" t="inlineStr">
        <is>
          <t>Perfil (validación de campos)</t>
        </is>
      </c>
      <c r="C25" s="3" t="inlineStr">
        <is>
          <t>Fechas en los límites exactos (hoy y hoy − 100 años)</t>
        </is>
      </c>
      <c r="D25" s="3" t="inlineStr">
        <is>
          <t>Verificar que las fronteras del rango sean inclusivas.</t>
        </is>
      </c>
      <c r="E25" s="3" t="inlineStr">
        <is>
          <t>Sesión iniciada.</t>
        </is>
      </c>
      <c r="F25" s="3" t="inlineStr">
        <is>
          <t>1. Guardar con fecha igual a hoy.
2. Guardar con fecha exactamente 100 años atrás.</t>
        </is>
      </c>
      <c r="G25" s="3" t="inlineStr">
        <is>
          <t>1) 2026-07-15
2) 1926-07-15</t>
        </is>
      </c>
      <c r="H25" s="3" t="inlineStr">
        <is>
          <t>Ambos valores límite se aceptan y se guardan.</t>
        </is>
      </c>
      <c r="I25" s="4" t="n"/>
      <c r="J25" s="5" t="n"/>
      <c r="K25" s="4" t="n"/>
    </row>
    <row r="26">
      <c r="A26" s="2" t="inlineStr">
        <is>
          <t>PRF-10</t>
        </is>
      </c>
      <c r="B26" s="3" t="inlineStr">
        <is>
          <t>Perfil (validación de campos)</t>
        </is>
      </c>
      <c r="C26" s="3" t="inlineStr">
        <is>
          <t>Fecha anterior a 100 años</t>
        </is>
      </c>
      <c r="D26" s="3" t="inlineStr">
        <is>
          <t>Verificar el límite inferior del rango.</t>
        </is>
      </c>
      <c r="E26" s="3" t="inlineStr">
        <is>
          <t>Sesión iniciada.</t>
        </is>
      </c>
      <c r="F26" s="3" t="inlineStr">
        <is>
          <t>1. Intentar guardar una fecha de hace más de 100 años.</t>
        </is>
      </c>
      <c r="G26" s="3" t="inlineStr">
        <is>
          <t>Fecha: 1900-01-01</t>
        </is>
      </c>
      <c r="H26" s="3" t="inlineStr">
        <is>
          <t>El sistema rechaza con error rojo de rango de fecha.</t>
        </is>
      </c>
      <c r="I26" s="4" t="n"/>
      <c r="J26" s="5" t="n"/>
      <c r="K26" s="4" t="n"/>
    </row>
    <row r="27">
      <c r="A27" s="2" t="inlineStr">
        <is>
          <t>PRF-11</t>
        </is>
      </c>
      <c r="B27" s="3" t="inlineStr">
        <is>
          <t>Perfil (validación de campos)</t>
        </is>
      </c>
      <c r="C27" s="3" t="inlineStr">
        <is>
          <t>Cascada Nacionalidad → Estado → Ciudad con datos reales</t>
        </is>
      </c>
      <c r="D27" s="3" t="inlineStr">
        <is>
          <t>Verificar la carga dependiente de catálogos geográficos reales (CountryStateCity).</t>
        </is>
      </c>
      <c r="E27" s="3" t="inlineStr">
        <is>
          <t>Sesión iniciada; geo_config.php con API key válida (o caché poblada).</t>
        </is>
      </c>
      <c r="F27" s="3" t="inlineStr">
        <is>
          <t>1. Elegir México como nacionalidad.
2. Observar la carga del combo Estado.
3. Elegir Sonora.
4. Observar la carga del combo Ciudad y elegir Hermosillo.
5. Guardar.</t>
        </is>
      </c>
      <c r="G27" s="3" t="inlineStr">
        <is>
          <t>México → Sonora → Hermosillo</t>
        </is>
      </c>
      <c r="H27" s="3" t="inlineStr">
        <is>
          <t>Cada combo carga opciones reales del nivel anterior, se muestra la bandera de México (flagcdn) y el guardado es exitoso.</t>
        </is>
      </c>
      <c r="I27" s="4" t="n"/>
      <c r="J27" s="5" t="n"/>
      <c r="K27" s="4" t="n"/>
    </row>
    <row r="28">
      <c r="A28" s="2" t="inlineStr">
        <is>
          <t>PRF-12</t>
        </is>
      </c>
      <c r="B28" s="3" t="inlineStr">
        <is>
          <t>Perfil (validación de campos)</t>
        </is>
      </c>
      <c r="C28" s="3" t="inlineStr">
        <is>
          <t>Geografía falsa enviada por POST manipulado</t>
        </is>
      </c>
      <c r="D28" s="3" t="inlineStr">
        <is>
          <t>Verificar la re-validación geográfica en el servidor.</t>
        </is>
      </c>
      <c r="E28" s="3" t="inlineStr">
        <is>
          <t>Sesión iniciada; herramientas de desarrollador del navegador.</t>
        </is>
      </c>
      <c r="F28" s="3" t="inlineStr">
        <is>
          <t>1. Con las DevTools, alterar el valor del select de ciudad/estado a un texto inventado.
2. Enviar el formulario.</t>
        </is>
      </c>
      <c r="G28" s="3" t="inlineStr">
        <is>
          <t>Ciudad: "My fictitious SLRC"
Estado: "statelessmind"</t>
        </is>
      </c>
      <c r="H28" s="3" t="inlineStr">
        <is>
          <t>El servidor rechaza el guardado (geoValidate) con error rojo; los datos inventados nunca llegan a la BD.</t>
        </is>
      </c>
      <c r="I28" s="4" t="n"/>
      <c r="J28" s="5" t="n"/>
      <c r="K28" s="4" t="n"/>
    </row>
    <row r="29">
      <c r="A29" s="2" t="inlineStr">
        <is>
          <t>PRF-13</t>
        </is>
      </c>
      <c r="B29" s="3" t="inlineStr">
        <is>
          <t>Perfil (validación de campos)</t>
        </is>
      </c>
      <c r="C29" s="3" t="inlineStr">
        <is>
          <t>Guardar sin seleccionar ciudad</t>
        </is>
      </c>
      <c r="D29" s="3" t="inlineStr">
        <is>
          <t>Verificar el campo obligatorio de ciudad.</t>
        </is>
      </c>
      <c r="E29" s="3" t="inlineStr">
        <is>
          <t>Sesión iniciada; país y estado elegidos.</t>
        </is>
      </c>
      <c r="F29" s="3" t="inlineStr">
        <is>
          <t>1. Elegir país y estado dejando ciudad vacía.
2. Guardar.</t>
        </is>
      </c>
      <c r="G29" s="3" t="inlineStr">
        <is>
          <t>Ciudad: (vacía)</t>
        </is>
      </c>
      <c r="H29" s="3" t="inlineStr">
        <is>
          <t>Error rojo "Selecciona tu ciudad" y no se guarda.</t>
        </is>
      </c>
      <c r="I29" s="4" t="n"/>
      <c r="J29" s="5" t="n"/>
      <c r="K29" s="4" t="n"/>
    </row>
    <row r="30">
      <c r="A30" s="2" t="inlineStr">
        <is>
          <t>PRF-14</t>
        </is>
      </c>
      <c r="B30" s="3" t="inlineStr">
        <is>
          <t>Perfil (validación de campos)</t>
        </is>
      </c>
      <c r="C30" s="3" t="inlineStr">
        <is>
          <t>Cambio de contraseña con contraseña actual incorrecta</t>
        </is>
      </c>
      <c r="D30" s="3" t="inlineStr">
        <is>
          <t>Verificar que se exija la contraseña vigente para cambiarla.</t>
        </is>
      </c>
      <c r="E30" s="3" t="inlineStr">
        <is>
          <t>Sesión iniciada.</t>
        </is>
      </c>
      <c r="F30" s="3" t="inlineStr">
        <is>
          <t>1. En la sección de contraseña, capturar una contraseña actual errónea.
2. Capturar la nueva contraseña.
3. Confirmar el cambio.</t>
        </is>
      </c>
      <c r="G30" s="3" t="inlineStr">
        <is>
          <t>Actual: incorrecta123
Nueva: nomada2027</t>
        </is>
      </c>
      <c r="H30" s="3" t="inlineStr">
        <is>
          <t>El sistema muestra error y la contraseña no cambia.</t>
        </is>
      </c>
      <c r="I30" s="4" t="n"/>
      <c r="J30" s="5" t="n"/>
      <c r="K30" s="4" t="n"/>
    </row>
    <row r="31">
      <c r="A31" s="2" t="inlineStr">
        <is>
          <t>PRF-15</t>
        </is>
      </c>
      <c r="B31" s="3" t="inlineStr">
        <is>
          <t>Perfil (validación de campos)</t>
        </is>
      </c>
      <c r="C31" s="3" t="inlineStr">
        <is>
          <t>Subida de foto de perfil y banner</t>
        </is>
      </c>
      <c r="D31" s="3" t="inlineStr">
        <is>
          <t>Verificar la carga y persistencia de imágenes.</t>
        </is>
      </c>
      <c r="E31" s="3" t="inlineStr">
        <is>
          <t>Sesión iniciada; imagen JPG/PNG menor al límite.</t>
        </is>
      </c>
      <c r="F31" s="3" t="inlineStr">
        <is>
          <t>1. Subir una imagen como foto de perfil.
2. Subir una imagen como banner.
3. Recargar la página.</t>
        </is>
      </c>
      <c r="G31" s="3" t="inlineStr">
        <is>
          <t>Archivo: foto.jpg (~1 MB)</t>
        </is>
      </c>
      <c r="H31" s="3" t="inlineStr">
        <is>
          <t>Las imágenes se muestran de inmediato, se guardan en img/profiles/ y persisten tras recargar (visibles también en el avatar del topbar).</t>
        </is>
      </c>
      <c r="I31" s="4" t="n"/>
      <c r="J31" s="5" t="n"/>
      <c r="K31" s="4" t="n"/>
    </row>
    <row r="32">
      <c r="A32" s="2" t="inlineStr">
        <is>
          <t>PRF-16</t>
        </is>
      </c>
      <c r="B32" s="3" t="inlineStr">
        <is>
          <t>Perfil (validación de campos)</t>
        </is>
      </c>
      <c r="C32" s="3" t="inlineStr">
        <is>
          <t>Guardado con botón de mantener pulsado</t>
        </is>
      </c>
      <c r="D32" s="3" t="inlineStr">
        <is>
          <t>Verificar que soltar antes de tiempo no guarde cambios.</t>
        </is>
      </c>
      <c r="E32" s="3" t="inlineStr">
        <is>
          <t>Sesión iniciada; hay cambios sin guardar.</t>
        </is>
      </c>
      <c r="F32" s="3" t="inlineStr">
        <is>
          <t>1. Mantener pulsado el botón de guardar y soltar antes de completar la animación.
2. Verificar que no se haya guardado.
3. Repetir manteniendo hasta el final.</t>
        </is>
      </c>
      <c r="G32" s="3" t="inlineStr">
        <is>
          <t>N/A</t>
        </is>
      </c>
      <c r="H32" s="3" t="inlineStr">
        <is>
          <t>Al soltar antes no se guarda; al completar la pulsación se guardan los cambios.</t>
        </is>
      </c>
      <c r="I32" s="4" t="n"/>
      <c r="J32" s="5" t="n"/>
      <c r="K32" s="4" t="n"/>
    </row>
    <row r="33">
      <c r="A33" s="2" t="inlineStr">
        <is>
          <t>DIV-01</t>
        </is>
      </c>
      <c r="B33" s="3" t="inlineStr">
        <is>
          <t>Divisa global</t>
        </is>
      </c>
      <c r="C33" s="3" t="inlineStr">
        <is>
          <t>Conversión de precios al elegir EUR</t>
        </is>
      </c>
      <c r="D33" s="3" t="inlineStr">
        <is>
          <t>Verificar que la divisa del perfil afecte los precios de todo el sitio.</t>
        </is>
      </c>
      <c r="E33" s="3" t="inlineStr">
        <is>
          <t>Sesión iniciada; API de tasas accesible.</t>
        </is>
      </c>
      <c r="F33" s="3" t="inlineStr">
        <is>
          <t>1. En profile.php elegir divisa EUR y guardar.
2. Visitar inicio.php y destino.php.
3. Comparar un precio conocido en MXN contra el mostrado.</t>
        </is>
      </c>
      <c r="G33" s="3" t="inlineStr">
        <is>
          <t>Divisa: EUR
Ejemplo: destino de 24,800 MXN</t>
        </is>
      </c>
      <c r="H33" s="3" t="inlineStr">
        <is>
          <t>Los precios se muestran en euros con el símbolo € y la conversión corresponde a la tasa del día (p. ej. ≈ €1,243).</t>
        </is>
      </c>
      <c r="I33" s="4" t="n"/>
      <c r="J33" s="5" t="n"/>
      <c r="K33" s="4" t="n"/>
    </row>
    <row r="34">
      <c r="A34" s="2" t="inlineStr">
        <is>
          <t>DIV-02</t>
        </is>
      </c>
      <c r="B34" s="3" t="inlineStr">
        <is>
          <t>Divisa global</t>
        </is>
      </c>
      <c r="C34" s="3" t="inlineStr">
        <is>
          <t>Divisa por defecto para usuario nuevo</t>
        </is>
      </c>
      <c r="D34" s="3" t="inlineStr">
        <is>
          <t>Verificar el valor por defecto MXN.</t>
        </is>
      </c>
      <c r="E34" s="3" t="inlineStr">
        <is>
          <t>Usuario recién registrado que no ha tocado su perfil.</t>
        </is>
      </c>
      <c r="F34" s="3" t="inlineStr">
        <is>
          <t>1. Registrar un usuario nuevo.
2. Visitar inicio.php.</t>
        </is>
      </c>
      <c r="G34" s="3" t="inlineStr">
        <is>
          <t>N/A</t>
        </is>
      </c>
      <c r="H34" s="3" t="inlineStr">
        <is>
          <t>Todos los precios se muestran en MXN (divisa por defecto de la columna usuarios.divisa).</t>
        </is>
      </c>
      <c r="I34" s="4" t="n"/>
      <c r="J34" s="5" t="n"/>
      <c r="K34" s="4" t="n"/>
    </row>
    <row r="35">
      <c r="A35" s="2" t="inlineStr">
        <is>
          <t>DIV-03</t>
        </is>
      </c>
      <c r="B35" s="3" t="inlineStr">
        <is>
          <t>Divisa global</t>
        </is>
      </c>
      <c r="C35" s="3" t="inlineStr">
        <is>
          <t>API de tasas de cambio caída (fallback)</t>
        </is>
      </c>
      <c r="D35" s="3" t="inlineStr">
        <is>
          <t>Verificar la degradación elegante sin tasas.</t>
        </is>
      </c>
      <c r="E35" s="3" t="inlineStr">
        <is>
          <t>Borrar cache/rates.json y bloquear la salida a open.er-api.com (o desconectar la red).</t>
        </is>
      </c>
      <c r="F35" s="3" t="inlineStr">
        <is>
          <t>1. Eliminar el archivo de caché de tasas.
2. Sin conexión al API, cargar inicio.php.</t>
        </is>
      </c>
      <c r="G35" s="3" t="inlineStr">
        <is>
          <t>Sin conectividad a open.er-api.com</t>
        </is>
      </c>
      <c r="H35" s="3" t="inlineStr">
        <is>
          <t>La página carga sin errores y los precios se muestran en MXN como respaldo.</t>
        </is>
      </c>
      <c r="I35" s="4" t="n"/>
      <c r="J35" s="5" t="n"/>
      <c r="K35" s="4" t="n"/>
    </row>
    <row r="36">
      <c r="A36" s="2" t="inlineStr">
        <is>
          <t>DIV-04</t>
        </is>
      </c>
      <c r="B36" s="3" t="inlineStr">
        <is>
          <t>Divisa global</t>
        </is>
      </c>
      <c r="C36" s="3" t="inlineStr">
        <is>
          <t>Caché diaria de tasas (una sola llamada al día)</t>
        </is>
      </c>
      <c r="D36" s="3" t="inlineStr">
        <is>
          <t>Verificar que la API externa no se consulte en cada carga.</t>
        </is>
      </c>
      <c r="E36" s="3" t="inlineStr">
        <is>
          <t>cache/rates.json existente y con fecha de hoy.</t>
        </is>
      </c>
      <c r="F36" s="3" t="inlineStr">
        <is>
          <t>1. Cargar inicio.php dos veces seguidas.
2. Revisar la fecha de modificación de cache/rates.json.</t>
        </is>
      </c>
      <c r="G36" s="3" t="inlineStr">
        <is>
          <t>N/A</t>
        </is>
      </c>
      <c r="H36" s="3" t="inlineStr">
        <is>
          <t>El archivo de caché no se vuelve a escribir: solo hay una llamada a la API por día.</t>
        </is>
      </c>
      <c r="I36" s="4" t="n"/>
      <c r="J36" s="5" t="n"/>
      <c r="K36" s="4" t="n"/>
    </row>
    <row r="37">
      <c r="A37" s="2" t="inlineStr">
        <is>
          <t>RES-01</t>
        </is>
      </c>
      <c r="B37" s="3" t="inlineStr">
        <is>
          <t>Resultados de búsqueda</t>
        </is>
      </c>
      <c r="C37" s="3" t="inlineStr">
        <is>
          <t>Búsqueda de una ciudad válida</t>
        </is>
      </c>
      <c r="D37" s="3" t="inlineStr">
        <is>
          <t>Verificar el flujo completo de resultados con datos reales.</t>
        </is>
      </c>
      <c r="E37" s="3" t="inlineStr">
        <is>
          <t>Sesión iniciada; APIs de Google habilitadas.</t>
        </is>
      </c>
      <c r="F37" s="3" t="inlineStr">
        <is>
          <t>1. En el buscador del topbar escribir la ciudad.
2. Presionar Enter.
3. Observar todas las secciones.</t>
        </is>
      </c>
      <c r="G37" s="3" t="inlineStr">
        <is>
          <t>Ciudad: Hermosillo</t>
        </is>
      </c>
      <c r="H37" s="3" t="inlineStr">
        <is>
          <t>El mapa se centra en la ciudad y se muestran: breadcrumb, carrusel de fotos (Google Places), título, descripción (Wikipedia), clima (Open-Meteo) y tarjetas de lugares.</t>
        </is>
      </c>
      <c r="I37" s="4" t="n"/>
      <c r="J37" s="5" t="n"/>
      <c r="K37" s="4" t="n"/>
    </row>
    <row r="38">
      <c r="A38" s="2" t="inlineStr">
        <is>
          <t>RES-02</t>
        </is>
      </c>
      <c r="B38" s="3" t="inlineStr">
        <is>
          <t>Resultados de búsqueda</t>
        </is>
      </c>
      <c r="C38" s="3" t="inlineStr">
        <is>
          <t>Búsqueda de ciudad inexistente</t>
        </is>
      </c>
      <c r="D38" s="3" t="inlineStr">
        <is>
          <t>Verificar el manejo de búsquedas sin resultado.</t>
        </is>
      </c>
      <c r="E38" s="3" t="inlineStr">
        <is>
          <t>Sesión iniciada.</t>
        </is>
      </c>
      <c r="F38" s="3" t="inlineStr">
        <is>
          <t>1. Buscar un texto sin sentido.</t>
        </is>
      </c>
      <c r="G38" s="3" t="inlineStr">
        <is>
          <t>Búsqueda: asdfgh</t>
        </is>
      </c>
      <c r="H38" s="3" t="inlineStr">
        <is>
          <t>Se muestra el mensaje "No encontramos la ciudad" sin errores de consola.</t>
        </is>
      </c>
      <c r="I38" s="4" t="n"/>
      <c r="J38" s="5" t="n"/>
      <c r="K38" s="4" t="n"/>
    </row>
    <row r="39">
      <c r="A39" s="2" t="inlineStr">
        <is>
          <t>RES-03</t>
        </is>
      </c>
      <c r="B39" s="3" t="inlineStr">
        <is>
          <t>Resultados de búsqueda</t>
        </is>
      </c>
      <c r="C39" s="3" t="inlineStr">
        <is>
          <t>Abrir resultados sin parámetro de búsqueda</t>
        </is>
      </c>
      <c r="D39" s="3" t="inlineStr">
        <is>
          <t>Verificar el estado vacío de la página.</t>
        </is>
      </c>
      <c r="E39" s="3" t="inlineStr">
        <is>
          <t>Sesión iniciada.</t>
        </is>
      </c>
      <c r="F39" s="3" t="inlineStr">
        <is>
          <t>1. Abrir resultados.php directamente sin ?q=.</t>
        </is>
      </c>
      <c r="G39" s="3" t="inlineStr">
        <is>
          <t>URL: resultados.php</t>
        </is>
      </c>
      <c r="H39" s="3" t="inlineStr">
        <is>
          <t>Se muestra el estado "Busca una ciudad" sin romper la página.</t>
        </is>
      </c>
      <c r="I39" s="4" t="n"/>
      <c r="J39" s="5" t="n"/>
      <c r="K39" s="4" t="n"/>
    </row>
    <row r="40">
      <c r="A40" s="2" t="inlineStr">
        <is>
          <t>RES-04</t>
        </is>
      </c>
      <c r="B40" s="3" t="inlineStr">
        <is>
          <t>Resultados de búsqueda</t>
        </is>
      </c>
      <c r="C40" s="3" t="inlineStr">
        <is>
          <t>Cambio de pestañas de categorías</t>
        </is>
      </c>
      <c r="D40" s="3" t="inlineStr">
        <is>
          <t>Verificar la carga por categoría.</t>
        </is>
      </c>
      <c r="E40" s="3" t="inlineStr">
        <is>
          <t>Búsqueda válida realizada (RES-01).</t>
        </is>
      </c>
      <c r="F40" s="3" t="inlineStr">
        <is>
          <t>1. Clic en "Cosas que hacer".
2. Clic en "Restaurantes".
3. Clic en "Hoteles".</t>
        </is>
      </c>
      <c r="G40" s="3" t="inlineStr">
        <is>
          <t>Ciudad: Hermosillo</t>
        </is>
      </c>
      <c r="H40" s="3" t="inlineStr">
        <is>
          <t>Cada pestaña carga sus 9 tarjetas con rating real y los pines del mapa cambian a esa categoría; en Restaurantes y Cosas que hacer no aparecen hoteles.</t>
        </is>
      </c>
      <c r="I40" s="4" t="n"/>
      <c r="J40" s="5" t="n"/>
      <c r="K40" s="4" t="n"/>
    </row>
    <row r="41">
      <c r="A41" s="2" t="inlineStr">
        <is>
          <t>RES-05</t>
        </is>
      </c>
      <c r="B41" s="3" t="inlineStr">
        <is>
          <t>Resultados de búsqueda</t>
        </is>
      </c>
      <c r="C41" s="3" t="inlineStr">
        <is>
          <t>Sincronía tarjeta ↔ pin del mapa</t>
        </is>
      </c>
      <c r="D41" s="3" t="inlineStr">
        <is>
          <t>Verificar el resaltado bidireccional.</t>
        </is>
      </c>
      <c r="E41" s="3" t="inlineStr">
        <is>
          <t>Búsqueda válida con tarjetas cargadas.</t>
        </is>
      </c>
      <c r="F41" s="3" t="inlineStr">
        <is>
          <t>1. Pasar el mouse sobre una tarjeta.
2. Pasar el mouse sobre un pin del mapa.</t>
        </is>
      </c>
      <c r="G41" s="3" t="inlineStr">
        <is>
          <t>N/A</t>
        </is>
      </c>
      <c r="H41" s="3" t="inlineStr">
        <is>
          <t>Al hacer hover en la tarjeta su pin se agranda y cambia a dorado; al hacer hover en el pin se resalta su tarjeta.</t>
        </is>
      </c>
      <c r="I41" s="4" t="n"/>
      <c r="J41" s="5" t="n"/>
      <c r="K41" s="4" t="n"/>
    </row>
    <row r="42">
      <c r="A42" s="2" t="inlineStr">
        <is>
          <t>RES-06</t>
        </is>
      </c>
      <c r="B42" s="3" t="inlineStr">
        <is>
          <t>Resultados de búsqueda</t>
        </is>
      </c>
      <c r="C42" s="3" t="inlineStr">
        <is>
          <t>Segunda página del clima</t>
        </is>
      </c>
      <c r="D42" s="3" t="inlineStr">
        <is>
          <t>Verificar el carrusel del clima.</t>
        </is>
      </c>
      <c r="E42" s="3" t="inlineStr">
        <is>
          <t>Búsqueda válida con clima visible.</t>
        </is>
      </c>
      <c r="F42" s="3" t="inlineStr">
        <is>
          <t>1. Clic en la flecha del bloque de clima.</t>
        </is>
      </c>
      <c r="G42" s="3" t="inlineStr">
        <is>
          <t>N/A</t>
        </is>
      </c>
      <c r="H42" s="3" t="inlineStr">
        <is>
          <t>Se muestra la página 2: índice UV, calidad del aire, humedad y salida/puesta del sol con hora local de la ciudad.</t>
        </is>
      </c>
      <c r="I42" s="4" t="n"/>
      <c r="J42" s="5" t="n"/>
      <c r="K42" s="4" t="n"/>
    </row>
    <row r="43">
      <c r="A43" s="2" t="inlineStr">
        <is>
          <t>RES-07</t>
        </is>
      </c>
      <c r="B43" s="3" t="inlineStr">
        <is>
          <t>Resultados de búsqueda</t>
        </is>
      </c>
      <c r="C43" s="3" t="inlineStr">
        <is>
          <t>Íconos dinámicos según los valores del clima</t>
        </is>
      </c>
      <c r="D43" s="3" t="inlineStr">
        <is>
          <t>Verificar que los SVG reaccionen a los datos.</t>
        </is>
      </c>
      <c r="E43" s="3" t="inlineStr">
        <is>
          <t>Comparar dos ciudades con climas distintos.</t>
        </is>
      </c>
      <c r="F43" s="3" t="inlineStr">
        <is>
          <t>1. Buscar una ciudad calurosa.
2. Buscar una ciudad fría.
3. Comparar el termómetro y los íconos.</t>
        </is>
      </c>
      <c r="G43" s="3" t="inlineStr">
        <is>
          <t>1) Hermosillo (verano)
2) Ushuaia</t>
        </is>
      </c>
      <c r="H43" s="3" t="inlineStr">
        <is>
          <t>El mercurio del termómetro sube/baja según la temperatura y los íconos de condición/UV/viento cambian según los valores.</t>
        </is>
      </c>
      <c r="I43" s="4" t="n"/>
      <c r="J43" s="5" t="n"/>
      <c r="K43" s="4" t="n"/>
    </row>
    <row r="44">
      <c r="A44" s="2" t="inlineStr">
        <is>
          <t>RES-08</t>
        </is>
      </c>
      <c r="B44" s="3" t="inlineStr">
        <is>
          <t>Resultados de búsqueda</t>
        </is>
      </c>
      <c r="C44" s="3" t="inlineStr">
        <is>
          <t>Mapa fijo durante el scroll</t>
        </is>
      </c>
      <c r="D44" s="3" t="inlineStr">
        <is>
          <t>Verificar que el mapa no se desplace con la lista.</t>
        </is>
      </c>
      <c r="E44" s="3" t="inlineStr">
        <is>
          <t>Búsqueda válida; ventana de escritorio.</t>
        </is>
      </c>
      <c r="F44" s="3" t="inlineStr">
        <is>
          <t>1. Hacer scroll largo sobre la lista de resultados.</t>
        </is>
      </c>
      <c r="G44" s="3" t="inlineStr">
        <is>
          <t>N/A</t>
        </is>
      </c>
      <c r="H44" s="3" t="inlineStr">
        <is>
          <t>Solo la columna izquierda se desplaza; el mapa permanece fijo a la derecha.</t>
        </is>
      </c>
      <c r="I44" s="4" t="n"/>
      <c r="J44" s="5" t="n"/>
      <c r="K44" s="4" t="n"/>
    </row>
    <row r="45">
      <c r="A45" s="2" t="inlineStr">
        <is>
          <t>RES-09</t>
        </is>
      </c>
      <c r="B45" s="3" t="inlineStr">
        <is>
          <t>Resultados de búsqueda</t>
        </is>
      </c>
      <c r="C45" s="3" t="inlineStr">
        <is>
          <t>Expandir y contraer el mapa</t>
        </is>
      </c>
      <c r="D45" s="3" t="inlineStr">
        <is>
          <t>Verificar el modo expandido.</t>
        </is>
      </c>
      <c r="E45" s="3" t="inlineStr">
        <is>
          <t>Búsqueda válida.</t>
        </is>
      </c>
      <c r="F45" s="3" t="inlineStr">
        <is>
          <t>1. Clic en el botón de expandir del mapa.
2. Presionar Esc (o el botón de cerrar).</t>
        </is>
      </c>
      <c r="G45" s="3" t="inlineStr">
        <is>
          <t>N/A</t>
        </is>
      </c>
      <c r="H45" s="3" t="inlineStr">
        <is>
          <t>El mapa ocupa el ancho completo (con resize correcto de Google Maps) y regresa a su tamaño al cerrar; el scroll del fondo se bloquea mientras está expandido.</t>
        </is>
      </c>
      <c r="I45" s="4" t="n"/>
      <c r="J45" s="5" t="n"/>
      <c r="K45" s="4" t="n"/>
    </row>
    <row r="46">
      <c r="A46" s="2" t="inlineStr">
        <is>
          <t>RES-10</t>
        </is>
      </c>
      <c r="B46" s="3" t="inlineStr">
        <is>
          <t>Resultados de búsqueda</t>
        </is>
      </c>
      <c r="C46" s="3" t="inlineStr">
        <is>
          <t>Places API deshabilitada</t>
        </is>
      </c>
      <c r="D46" s="3" t="inlineStr">
        <is>
          <t>Verificar el mensaje de error de configuración.</t>
        </is>
      </c>
      <c r="E46" s="3" t="inlineStr">
        <is>
          <t>Usar una API key sin Places habilitado (entorno de prueba).</t>
        </is>
      </c>
      <c r="F46" s="3" t="inlineStr">
        <is>
          <t>1. Buscar una ciudad con la key incompleta.</t>
        </is>
      </c>
      <c r="G46" s="3" t="inlineStr">
        <is>
          <t>API key sin Places API</t>
        </is>
      </c>
      <c r="H46" s="3" t="inlineStr">
        <is>
          <t>Se muestra un mensaje claro pidiendo habilitar la API, sin romper el resto de la página.</t>
        </is>
      </c>
      <c r="I46" s="4" t="n"/>
      <c r="J46" s="5" t="n"/>
      <c r="K46" s="4" t="n"/>
    </row>
    <row r="47">
      <c r="A47" s="2" t="inlineStr">
        <is>
          <t>RES-11</t>
        </is>
      </c>
      <c r="B47" s="3" t="inlineStr">
        <is>
          <t>Resultados de búsqueda</t>
        </is>
      </c>
      <c r="C47" s="3" t="inlineStr">
        <is>
          <t>Búsqueda desde el topbar con categoría preseleccionada</t>
        </is>
      </c>
      <c r="D47" s="3" t="inlineStr">
        <is>
          <t>Verificar el parámetro tab del buscador.</t>
        </is>
      </c>
      <c r="E47" s="3" t="inlineStr">
        <is>
          <t>Sesión iniciada en cualquier página con buscador.</t>
        </is>
      </c>
      <c r="F47" s="3" t="inlineStr">
        <is>
          <t>1. En el buscador del topbar elegir la categoría "Hoteles".
2. Escribir la ciudad y presionar Enter.</t>
        </is>
      </c>
      <c r="G47" s="3" t="inlineStr">
        <is>
          <t>Ciudad: Cancún, categoría: Hoteles</t>
        </is>
      </c>
      <c r="H47" s="3" t="inlineStr">
        <is>
          <t>resultados.php abre directamente con la pestaña Hoteles activa (tab=hoteles).</t>
        </is>
      </c>
      <c r="I47" s="4" t="n"/>
      <c r="J47" s="5" t="n"/>
      <c r="K47" s="4" t="n"/>
    </row>
    <row r="48">
      <c r="A48" s="2" t="inlineStr">
        <is>
          <t>RES-12</t>
        </is>
      </c>
      <c r="B48" s="3" t="inlineStr">
        <is>
          <t>Resultados de búsqueda</t>
        </is>
      </c>
      <c r="C48" s="3" t="inlineStr">
        <is>
          <t>Favoritos en tarjetas de lugares</t>
        </is>
      </c>
      <c r="D48" s="3" t="inlineStr">
        <is>
          <t>Verificar el marcado y persistencia de favoritos.</t>
        </is>
      </c>
      <c r="E48" s="3" t="inlineStr">
        <is>
          <t>Búsqueda válida con tarjetas.</t>
        </is>
      </c>
      <c r="F48" s="3" t="inlineStr">
        <is>
          <t>1. Clic en el corazón de una tarjeta.
2. Recargar la página y repetir la búsqueda.</t>
        </is>
      </c>
      <c r="G48" s="3" t="inlineStr">
        <is>
          <t>N/A</t>
        </is>
      </c>
      <c r="H48" s="3" t="inlineStr">
        <is>
          <t>El corazón queda marcado y persiste tras recargar (localStorage rn_favs por usuario).</t>
        </is>
      </c>
      <c r="I48" s="4" t="n"/>
      <c r="J48" s="5" t="n"/>
      <c r="K48" s="4" t="n"/>
    </row>
    <row r="49">
      <c r="A49" s="2" t="inlineStr">
        <is>
          <t>NAV-01</t>
        </is>
      </c>
      <c r="B49" s="3" t="inlineStr">
        <is>
          <t>Topbar y navegación</t>
        </is>
      </c>
      <c r="C49" s="3" t="inlineStr">
        <is>
          <t>Menú desplegable del avatar</t>
        </is>
      </c>
      <c r="D49" s="3" t="inlineStr">
        <is>
          <t>Verificar el contenido del menú de usuario.</t>
        </is>
      </c>
      <c r="E49" s="3" t="inlineStr">
        <is>
          <t>Sesión iniciada.</t>
        </is>
      </c>
      <c r="F49" s="3" t="inlineStr">
        <is>
          <t>1. Clic en el avatar (esquina superior derecha).</t>
        </is>
      </c>
      <c r="G49" s="3" t="inlineStr">
        <is>
          <t>N/A</t>
        </is>
      </c>
      <c r="H49" s="3" t="inlineStr">
        <is>
          <t>Se despliega el menú con: Mi perfil, Mis guardados, Configuración y Cerrar sesión, con la foto o inicial del usuario.</t>
        </is>
      </c>
      <c r="I49" s="4" t="n"/>
      <c r="J49" s="5" t="n"/>
      <c r="K49" s="4" t="n"/>
    </row>
    <row r="50">
      <c r="A50" s="2" t="inlineStr">
        <is>
          <t>NAV-02</t>
        </is>
      </c>
      <c r="B50" s="3" t="inlineStr">
        <is>
          <t>Topbar y navegación</t>
        </is>
      </c>
      <c r="C50" s="3" t="inlineStr">
        <is>
          <t>Cierre de menús al hacer clic fuera o con Esc</t>
        </is>
      </c>
      <c r="D50" s="3" t="inlineStr">
        <is>
          <t>Verificar el comportamiento estándar de los menús.</t>
        </is>
      </c>
      <c r="E50" s="3" t="inlineStr">
        <is>
          <t>Sesión iniciada.</t>
        </is>
      </c>
      <c r="F50" s="3" t="inlineStr">
        <is>
          <t>1. Abrir el menú del avatar.
2. Hacer clic fuera del menú.
3. Abrirlo de nuevo y presionar Esc.
4. Abrir el selector de categoría del buscador y luego el menú del avatar.</t>
        </is>
      </c>
      <c r="G50" s="3" t="inlineStr">
        <is>
          <t>N/A</t>
        </is>
      </c>
      <c r="H50" s="3" t="inlineStr">
        <is>
          <t>Los menús se cierran al hacer clic fuera o con Esc, y abrir uno cierra los demás.</t>
        </is>
      </c>
      <c r="I50" s="4" t="n"/>
      <c r="J50" s="5" t="n"/>
      <c r="K50" s="4" t="n"/>
    </row>
    <row r="51">
      <c r="A51" s="2" t="inlineStr">
        <is>
          <t>NAV-03</t>
        </is>
      </c>
      <c r="B51" s="3" t="inlineStr">
        <is>
          <t>Topbar y navegación</t>
        </is>
      </c>
      <c r="C51" s="3" t="inlineStr">
        <is>
          <t>Resaltado de la página activa</t>
        </is>
      </c>
      <c r="D51" s="3" t="inlineStr">
        <is>
          <t>Verificar el estado activo del nav (Inicio · Mis planes · Guías de viaje).</t>
        </is>
      </c>
      <c r="E51" s="3" t="inlineStr">
        <is>
          <t>Sesión iniciada.</t>
        </is>
      </c>
      <c r="F51" s="3" t="inlineStr">
        <is>
          <t>1. Navegar a inicio.php, mis_planes.php y guias.php.
2. Observar el nav en cada una.</t>
        </is>
      </c>
      <c r="G51" s="3" t="inlineStr">
        <is>
          <t>N/A</t>
        </is>
      </c>
      <c r="H51" s="3" t="inlineStr">
        <is>
          <t>En cada página la opción correspondiente aparece resaltada; en Inicio el topbar no muestra buscador y el nav queda junto a "Crear plan de viaje".</t>
        </is>
      </c>
      <c r="I51" s="4" t="n"/>
      <c r="J51" s="5" t="n"/>
      <c r="K51" s="4" t="n"/>
    </row>
    <row r="52">
      <c r="A52" s="2" t="inlineStr">
        <is>
          <t>NAV-04</t>
        </is>
      </c>
      <c r="B52" s="3" t="inlineStr">
        <is>
          <t>Topbar y navegación</t>
        </is>
      </c>
      <c r="C52" s="3" t="inlineStr">
        <is>
          <t>Búsqueda con el campo vacío</t>
        </is>
      </c>
      <c r="D52" s="3" t="inlineStr">
        <is>
          <t>Verificar que no se navegue sin texto.</t>
        </is>
      </c>
      <c r="E52" s="3" t="inlineStr">
        <is>
          <t>Sesión iniciada en una página con buscador.</t>
        </is>
      </c>
      <c r="F52" s="3" t="inlineStr">
        <is>
          <t>1. Con el campo vacío, presionar Enter o la lupa.</t>
        </is>
      </c>
      <c r="G52" s="3" t="inlineStr">
        <is>
          <t>Búsqueda: (vacía)</t>
        </is>
      </c>
      <c r="H52" s="3" t="inlineStr">
        <is>
          <t>No se navega a resultados.php; el foco regresa al campo de búsqueda.</t>
        </is>
      </c>
      <c r="I52" s="4" t="n"/>
      <c r="J52" s="5" t="n"/>
      <c r="K52" s="4" t="n"/>
    </row>
    <row r="53">
      <c r="A53" s="2" t="inlineStr">
        <is>
          <t>NAV-05</t>
        </is>
      </c>
      <c r="B53" s="3" t="inlineStr">
        <is>
          <t>Topbar y navegación</t>
        </is>
      </c>
      <c r="C53" s="3" t="inlineStr">
        <is>
          <t>Botón "Crear plan de viaje"</t>
        </is>
      </c>
      <c r="D53" s="3" t="inlineStr">
        <is>
          <t>Verificar el acceso al planificador.</t>
        </is>
      </c>
      <c r="E53" s="3" t="inlineStr">
        <is>
          <t>Sesión iniciada.</t>
        </is>
      </c>
      <c r="F53" s="3" t="inlineStr">
        <is>
          <t>1. Clic en "Crear plan de viaje" en el topbar.</t>
        </is>
      </c>
      <c r="G53" s="3" t="inlineStr">
        <is>
          <t>N/A</t>
        </is>
      </c>
      <c r="H53" s="3" t="inlineStr">
        <is>
          <t>Se abre crear_plan.php en la pantalla "Planifica un nuevo viaje".</t>
        </is>
      </c>
      <c r="I53" s="4" t="n"/>
      <c r="J53" s="5" t="n"/>
      <c r="K53" s="4" t="n"/>
    </row>
    <row r="54">
      <c r="A54" s="2" t="inlineStr">
        <is>
          <t>SEG-01</t>
        </is>
      </c>
      <c r="B54" s="3" t="inlineStr">
        <is>
          <t>Seguridad</t>
        </is>
      </c>
      <c r="C54" s="3" t="inlineStr">
        <is>
          <t>Inyección SQL en login y búsquedas</t>
        </is>
      </c>
      <c r="D54" s="3" t="inlineStr">
        <is>
          <t>Verificar la inmunidad ante inyección SQL (consultas preparadas).</t>
        </is>
      </c>
      <c r="E54" s="3" t="inlineStr">
        <is>
          <t>Ninguna.</t>
        </is>
      </c>
      <c r="F54" s="3" t="inlineStr">
        <is>
          <t>1. En login.php capturar la cadena de inyección como correo y contraseña.
2. Repetir en el buscador de admin_prin.php.</t>
        </is>
      </c>
      <c r="G54" s="3" t="inlineStr">
        <is>
          <t>Entrada: ' OR '1'='1</t>
        </is>
      </c>
      <c r="H54" s="3" t="inlineStr">
        <is>
          <t>La entrada se trata como texto literal: el login falla con el mensaje normal y la búsqueda no devuelve resultados anómalos.</t>
        </is>
      </c>
      <c r="I54" s="4" t="n"/>
      <c r="J54" s="5" t="n"/>
      <c r="K54" s="4" t="n"/>
    </row>
    <row r="55">
      <c r="A55" s="2" t="inlineStr">
        <is>
          <t>SEG-02</t>
        </is>
      </c>
      <c r="B55" s="3" t="inlineStr">
        <is>
          <t>Seguridad</t>
        </is>
      </c>
      <c r="C55" s="3" t="inlineStr">
        <is>
          <t>XSS en campos de texto</t>
        </is>
      </c>
      <c r="D55" s="3" t="inlineStr">
        <is>
          <t>Verificar el escape de la salida (htmlspecialchars).</t>
        </is>
      </c>
      <c r="E55" s="3" t="inlineStr">
        <is>
          <t>Sesión iniciada.</t>
        </is>
      </c>
      <c r="F55" s="3" t="inlineStr">
        <is>
          <t>1. Guardar un nombre que contenga una etiqueta script.
2. Visitar las páginas que muestran el nombre (topbar, perfil).</t>
        </is>
      </c>
      <c r="G55" s="3" t="inlineStr">
        <is>
          <t>Nombre: &lt;script&gt;alert(1)&lt;/script&gt;</t>
        </is>
      </c>
      <c r="H55" s="3" t="inlineStr">
        <is>
          <t>El texto se muestra literal en pantalla; nunca se ejecuta el script.</t>
        </is>
      </c>
      <c r="I55" s="4" t="n"/>
      <c r="J55" s="5" t="n"/>
      <c r="K55" s="4" t="n"/>
    </row>
    <row r="56">
      <c r="A56" s="2" t="inlineStr">
        <is>
          <t>SEG-03</t>
        </is>
      </c>
      <c r="B56" s="3" t="inlineStr">
        <is>
          <t>Seguridad</t>
        </is>
      </c>
      <c r="C56" s="3" t="inlineStr">
        <is>
          <t>Acceso al panel admin con usuario normal</t>
        </is>
      </c>
      <c r="D56" s="3" t="inlineStr">
        <is>
          <t>Verificar el control de acceso por rol en admin_prin.php.</t>
        </is>
      </c>
      <c r="E56" s="3" t="inlineStr">
        <is>
          <t>Sesión iniciada con un usuario viajero (no admin).</t>
        </is>
      </c>
      <c r="F56" s="3" t="inlineStr">
        <is>
          <t>1. Escribir directamente la URL de admin_prin.php.</t>
        </is>
      </c>
      <c r="G56" s="3" t="inlineStr">
        <is>
          <t>URL: admin_prin.php</t>
        </is>
      </c>
      <c r="H56" s="3" t="inlineStr">
        <is>
          <t>DEBERÍA bloquear el acceso por rol. HALLAZGO CONOCIDO: hoy cualquier usuario con sesión entra — se espera que este caso FALLE hasta implementar roles.</t>
        </is>
      </c>
      <c r="I56" s="4" t="n"/>
      <c r="J56" s="5" t="n"/>
      <c r="K56" s="4" t="n"/>
    </row>
    <row r="57">
      <c r="A57" s="2" t="inlineStr">
        <is>
          <t>SEG-04</t>
        </is>
      </c>
      <c r="B57" s="3" t="inlineStr">
        <is>
          <t>Seguridad</t>
        </is>
      </c>
      <c r="C57" s="3" t="inlineStr">
        <is>
          <t>Exposición de claves de API en el cliente</t>
        </is>
      </c>
      <c r="D57" s="3" t="inlineStr">
        <is>
          <t>Verificar qué claves llegan al navegador.</t>
        </is>
      </c>
      <c r="E57" s="3" t="inlineStr">
        <is>
          <t>Ninguna.</t>
        </is>
      </c>
      <c r="F57" s="3" t="inlineStr">
        <is>
          <t>1. Ver el código fuente de resultados.php y crear_plan.php en el navegador.
2. Buscar "key=" y revisar las llamadas de red.</t>
        </is>
      </c>
      <c r="G57" s="3" t="inlineStr">
        <is>
          <t>N/A</t>
        </is>
      </c>
      <c r="H57" s="3" t="inlineStr">
        <is>
          <t>Solo la key de Google Maps es visible (comportamiento normal de Maps JS; debe restringirse por referrer). Las claves de CountryStateCity y SMTP nunca aparecen (viven en el servidor).</t>
        </is>
      </c>
      <c r="I57" s="4" t="n"/>
      <c r="J57" s="5" t="n"/>
      <c r="K57" s="4" t="n"/>
    </row>
    <row r="58">
      <c r="A58" s="2" t="inlineStr">
        <is>
          <t>SEG-05</t>
        </is>
      </c>
      <c r="B58" s="3" t="inlineStr">
        <is>
          <t>Seguridad</t>
        </is>
      </c>
      <c r="C58" s="3" t="inlineStr">
        <is>
          <t>Contraseñas almacenadas con hash</t>
        </is>
      </c>
      <c r="D58" s="3" t="inlineStr">
        <is>
          <t>Verificar que la BD nunca guarde contraseñas en texto plano.</t>
        </is>
      </c>
      <c r="E58" s="3" t="inlineStr">
        <is>
          <t>Acceso a phpMyAdmin.</t>
        </is>
      </c>
      <c r="F58" s="3" t="inlineStr">
        <is>
          <t>1. Consultar la tabla usuarios.
2. Revisar la columna password_hash de varios usuarios.</t>
        </is>
      </c>
      <c r="G58" s="3" t="inlineStr">
        <is>
          <t>SELECT email, password_hash FROM usuarios;</t>
        </is>
      </c>
      <c r="H58" s="3" t="inlineStr">
        <is>
          <t>Todos los valores son hashes bcrypt (empiezan con $2y$); ninguna contraseña legible.</t>
        </is>
      </c>
      <c r="I58" s="4" t="n"/>
      <c r="J58" s="5" t="n"/>
      <c r="K58" s="4" t="n"/>
    </row>
    <row r="59">
      <c r="A59" s="2" t="inlineStr">
        <is>
          <t>INT-01</t>
        </is>
      </c>
      <c r="B59" s="3" t="inlineStr">
        <is>
          <t>Integración de APIs (manejo de fallos)</t>
        </is>
      </c>
      <c r="C59" s="3" t="inlineStr">
        <is>
          <t>Ciudad sin artículo en Wikipedia</t>
        </is>
      </c>
      <c r="D59" s="3" t="inlineStr">
        <is>
          <t>Verificar la degradación cuando falta la descripción.</t>
        </is>
      </c>
      <c r="E59" s="3" t="inlineStr">
        <is>
          <t>Buscar una localidad pequeña sin artículo en la Wikipedia en español.</t>
        </is>
      </c>
      <c r="F59" s="3" t="inlineStr">
        <is>
          <t>1. Buscar la localidad.
2. Observar la sección de descripción.</t>
        </is>
      </c>
      <c r="G59" s="3" t="inlineStr">
        <is>
          <t>Ciudad: una localidad muy pequeña</t>
        </is>
      </c>
      <c r="H59" s="3" t="inlineStr">
        <is>
          <t>La sección de descripción se oculta sin errores; el resto de la página funciona.</t>
        </is>
      </c>
      <c r="I59" s="4" t="n"/>
      <c r="J59" s="5" t="n"/>
      <c r="K59" s="4" t="n"/>
    </row>
    <row r="60">
      <c r="A60" s="2" t="inlineStr">
        <is>
          <t>INT-02</t>
        </is>
      </c>
      <c r="B60" s="3" t="inlineStr">
        <is>
          <t>Integración de APIs (manejo de fallos)</t>
        </is>
      </c>
      <c r="C60" s="3" t="inlineStr">
        <is>
          <t>Open-Meteo sin respuesta</t>
        </is>
      </c>
      <c r="D60" s="3" t="inlineStr">
        <is>
          <t>Verificar la degradación del bloque de clima.</t>
        </is>
      </c>
      <c r="E60" s="3" t="inlineStr">
        <is>
          <t>Bloquear api.open-meteo.com (hosts o DevTools) antes de buscar.</t>
        </is>
      </c>
      <c r="F60" s="3" t="inlineStr">
        <is>
          <t>1. Con el API bloqueado, buscar una ciudad.</t>
        </is>
      </c>
      <c r="G60" s="3" t="inlineStr">
        <is>
          <t>Bloqueo de red a open-meteo.com</t>
        </is>
      </c>
      <c r="H60" s="3" t="inlineStr">
        <is>
          <t>El bloque de clima se oculta o muestra estado vacío; sin errores fatales en consola.</t>
        </is>
      </c>
      <c r="I60" s="4" t="n"/>
      <c r="J60" s="5" t="n"/>
      <c r="K60" s="4" t="n"/>
    </row>
    <row r="61">
      <c r="A61" s="2" t="inlineStr">
        <is>
          <t>INT-03</t>
        </is>
      </c>
      <c r="B61" s="3" t="inlineStr">
        <is>
          <t>Integración de APIs (manejo de fallos)</t>
        </is>
      </c>
      <c r="C61" s="3" t="inlineStr">
        <is>
          <t>API key de CountryStateCity faltante</t>
        </is>
      </c>
      <c r="D61" s="3" t="inlineStr">
        <is>
          <t>Verificar el aviso de configuración del proxy geográfico.</t>
        </is>
      </c>
      <c r="E61" s="3" t="inlineStr">
        <is>
          <t>Vaciar temporalmente la key en includes/geo_config.php (restaurarla al final).</t>
        </is>
      </c>
      <c r="F61" s="3" t="inlineStr">
        <is>
          <t>1. Abrir profile.php.
2. Intentar desplegar el combo de nacionalidad.
3. Guardar el perfil sin cambiar geografía.</t>
        </is>
      </c>
      <c r="G61" s="3" t="inlineStr">
        <is>
          <t>geo_config.php sin key</t>
        </is>
      </c>
      <c r="H61" s="3" t="inlineStr">
        <is>
          <t>geo.php responde con un aviso claro; la validación no bloquea el guardado de los demás campos.</t>
        </is>
      </c>
      <c r="I61" s="4" t="n"/>
      <c r="J61" s="5" t="n"/>
      <c r="K61" s="4" t="n"/>
    </row>
    <row r="62">
      <c r="A62" s="2" t="inlineStr">
        <is>
          <t>INT-04</t>
        </is>
      </c>
      <c r="B62" s="3" t="inlineStr">
        <is>
          <t>Integración de APIs (manejo de fallos)</t>
        </is>
      </c>
      <c r="C62" s="3" t="inlineStr">
        <is>
          <t>Geocoding con key mal configurada (REQUEST_DENIED)</t>
        </is>
      </c>
      <c r="D62" s="3" t="inlineStr">
        <is>
          <t>Verificar el mensaje ante errores de configuración de Google.</t>
        </is>
      </c>
      <c r="E62" s="3" t="inlineStr">
        <is>
          <t>Probar con una key inválida o sin Geocoding habilitado (entorno de prueba).</t>
        </is>
      </c>
      <c r="F62" s="3" t="inlineStr">
        <is>
          <t>1. Buscar una ciudad con la key inválida.</t>
        </is>
      </c>
      <c r="G62" s="3" t="inlineStr">
        <is>
          <t>API key inválida</t>
        </is>
      </c>
      <c r="H62" s="3" t="inlineStr">
        <is>
          <t>Se muestra un mensaje claro pidiendo revisar/habilitar la API, sin página en blanco.</t>
        </is>
      </c>
      <c r="I62" s="4" t="n"/>
      <c r="J62" s="5" t="n"/>
      <c r="K62" s="4" t="n"/>
    </row>
    <row r="63">
      <c r="A63" s="2" t="inlineStr">
        <is>
          <t>RES-13</t>
        </is>
      </c>
      <c r="B63" s="3" t="inlineStr">
        <is>
          <t>Compatibilidad, responsive y datos</t>
        </is>
      </c>
      <c r="C63" s="3" t="inlineStr">
        <is>
          <t>Vista móvil de resultados (≤ 640 px)</t>
        </is>
      </c>
      <c r="D63" s="3" t="inlineStr">
        <is>
          <t>Verificar la adaptación responsive de resultados.php.</t>
        </is>
      </c>
      <c r="E63" s="3" t="inlineStr">
        <is>
          <t>Búsqueda válida realizada.</t>
        </is>
      </c>
      <c r="F63" s="3" t="inlineStr">
        <is>
          <t>1. Reducir la ventana a 375 px de ancho (o usar el modo dispositivo de DevTools).
2. Observar mapa y tarjetas.
3. Tocar el botón "Ver mapa".</t>
        </is>
      </c>
      <c r="G63" s="3" t="inlineStr">
        <is>
          <t>Viewport: 375×812</t>
        </is>
      </c>
      <c r="H63" s="3" t="inlineStr">
        <is>
          <t>El mapa lateral se oculta y aparece el botón "Ver mapa" que abre el mapa en modal; las tarjetas se apilan en 1 columna.</t>
        </is>
      </c>
      <c r="I63" s="4" t="n"/>
      <c r="J63" s="5" t="n"/>
      <c r="K63" s="4" t="n"/>
    </row>
    <row r="64">
      <c r="A64" s="2" t="inlineStr">
        <is>
          <t>RES-14</t>
        </is>
      </c>
      <c r="B64" s="3" t="inlineStr">
        <is>
          <t>Compatibilidad, responsive y datos</t>
        </is>
      </c>
      <c r="C64" s="3" t="inlineStr">
        <is>
          <t>Compatibilidad entre navegadores</t>
        </is>
      </c>
      <c r="D64" s="3" t="inlineStr">
        <is>
          <t>Verificar equivalencia funcional y visual en los navegadores principales.</t>
        </is>
      </c>
      <c r="E64" s="3" t="inlineStr">
        <is>
          <t>Proyecto corriendo en XAMPP.</t>
        </is>
      </c>
      <c r="F64" s="3" t="inlineStr">
        <is>
          <t>1. Ejecutar los flujos principales (login, búsqueda, perfil) en Chrome.
2. Repetir en Edge.
3. Repetir en Firefox.</t>
        </is>
      </c>
      <c r="G64" s="3" t="inlineStr">
        <is>
          <t>Chrome, Edge y Firefox actuales</t>
        </is>
      </c>
      <c r="H64" s="3" t="inlineStr">
        <is>
          <t>El layout y las funciones son equivalentes en los tres navegadores, sin errores de consola exclusivos de alguno.</t>
        </is>
      </c>
      <c r="I64" s="4" t="n"/>
      <c r="J64" s="5" t="n"/>
      <c r="K64" s="4" t="n"/>
    </row>
    <row r="65">
      <c r="A65" s="2" t="inlineStr">
        <is>
          <t>DB-01</t>
        </is>
      </c>
      <c r="B65" s="3" t="inlineStr">
        <is>
          <t>Compatibilidad, responsive y datos</t>
        </is>
      </c>
      <c r="C65" s="3" t="inlineStr">
        <is>
          <t>Integridad referencial al eliminar registros</t>
        </is>
      </c>
      <c r="D65" s="3" t="inlineStr">
        <is>
          <t>Verificar las llaves foráneas con ON DELETE CASCADE.</t>
        </is>
      </c>
      <c r="E65" s="3" t="inlineStr">
        <is>
          <t>BD con un usuario de prueba que tenga viajes/planes asociados.</t>
        </is>
      </c>
      <c r="F65" s="3" t="inlineStr">
        <is>
          <t>1. En phpMyAdmin, eliminar el usuario de prueba.
2. Consultar las tablas dependientes.</t>
        </is>
      </c>
      <c r="G65" s="3" t="inlineStr">
        <is>
          <t>DELETE FROM usuarios WHERE id = &lt;id de prueba&gt;;</t>
        </is>
      </c>
      <c r="H65" s="3" t="inlineStr">
        <is>
          <t>Los registros dependientes (viajes_usuario, favoritos, etc.) se eliminan en cascada; no quedan filas huérfanas.</t>
        </is>
      </c>
      <c r="I65" s="4" t="n"/>
      <c r="J65" s="5" t="n"/>
      <c r="K65" s="4" t="n"/>
    </row>
    <row r="66">
      <c r="A66" s="2" t="inlineStr">
        <is>
          <t>REN-01</t>
        </is>
      </c>
      <c r="B66" s="3" t="inlineStr">
        <is>
          <t>Compatibilidad, responsive y datos</t>
        </is>
      </c>
      <c r="C66" s="3" t="inlineStr">
        <is>
          <t>Tiempo de carga y skeletons en resultados</t>
        </is>
      </c>
      <c r="D66" s="3" t="inlineStr">
        <is>
          <t>Verificar la retroalimentación visual durante la carga.</t>
        </is>
      </c>
      <c r="E66" s="3" t="inlineStr">
        <is>
          <t>Red normal; caché del navegador vacía.</t>
        </is>
      </c>
      <c r="F66" s="3" t="inlineStr">
        <is>
          <t>1. Buscar una ciudad.
2. Observar los skeletons mientras cargan fotos, clima y tarjetas.
3. Medir el tiempo hasta contenido completo (pestaña Network).</t>
        </is>
      </c>
      <c r="G66" s="3" t="inlineStr">
        <is>
          <t>Ciudad: Hermosillo</t>
        </is>
      </c>
      <c r="H66" s="3" t="inlineStr">
        <is>
          <t>Se muestran skeletons animados de inmediato y el contenido completo aparece en un tiempo razonable (referencia: &lt; 5 s con red normal).</t>
        </is>
      </c>
      <c r="I66" s="4" t="n"/>
      <c r="J66" s="5" t="n"/>
      <c r="K66" s="4" t="n"/>
    </row>
  </sheetData>
  <autoFilter ref="A1:K66"/>
  <dataValidations count="1">
    <dataValidation sqref="J2:J66" showDropDown="0" showInputMessage="0" showErrorMessage="0" allowBlank="1" errorTitle="Estado inválido" error="Elige un valor de la lista: Pasó, Falló, Bloqueado o No ejecutado." type="list">
      <formula1>"Pasó,Falló,Bloqueado,No ejecutado"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Métricas de ejecución — Casos de prueba Ruta Nómada</t>
        </is>
      </c>
    </row>
    <row r="3">
      <c r="A3" s="7" t="inlineStr">
        <is>
          <t>Cómo llenar la hoja "Casos de Prueba":</t>
        </is>
      </c>
    </row>
    <row r="4">
      <c r="A4" s="8" t="inlineStr">
        <is>
          <t>• Resultado obtenido (col. I): lo que realmente pasó al ejecutar el caso.</t>
        </is>
      </c>
    </row>
    <row r="5">
      <c r="A5" s="8" t="inlineStr">
        <is>
          <t>• Estado (col. J): elegir de la lista → Pasó / Falló / Bloqueado / No ejecutado.</t>
        </is>
      </c>
    </row>
    <row r="6">
      <c r="A6" s="8" t="inlineStr">
        <is>
          <t>• Observaciones (col. K): defectos encontrados, capturas, notas.</t>
        </is>
      </c>
    </row>
    <row r="7">
      <c r="A7" s="8" t="inlineStr">
        <is>
          <t>Las celdas por llenar están sombreadas en amarillo claro. Estas métricas se calculan solas.</t>
        </is>
      </c>
    </row>
    <row r="9">
      <c r="A9" s="9" t="inlineStr">
        <is>
          <t>Resumen global</t>
        </is>
      </c>
      <c r="B9" s="10" t="inlineStr"/>
    </row>
    <row r="10">
      <c r="A10" s="8" t="inlineStr">
        <is>
          <t>Total de casos</t>
        </is>
      </c>
      <c r="B10" s="11">
        <f>COUNTA('Casos de Prueba'!$A$2:$A$66)</f>
        <v/>
      </c>
    </row>
    <row r="11">
      <c r="A11" s="8" t="inlineStr">
        <is>
          <t>Ejecutados</t>
        </is>
      </c>
      <c r="B11" s="11">
        <f>COUNTIF('Casos de Prueba'!$J$2:$J$66,"Pasó")+COUNTIF('Casos de Prueba'!$J$2:$J$66,"Falló")</f>
        <v/>
      </c>
    </row>
    <row r="12">
      <c r="A12" s="8" t="inlineStr">
        <is>
          <t>Pasaron</t>
        </is>
      </c>
      <c r="B12" s="11">
        <f>COUNTIF('Casos de Prueba'!$J$2:$J$66,"Pasó")</f>
        <v/>
      </c>
    </row>
    <row r="13">
      <c r="A13" s="8" t="inlineStr">
        <is>
          <t>Fallaron</t>
        </is>
      </c>
      <c r="B13" s="11">
        <f>COUNTIF('Casos de Prueba'!$J$2:$J$66,"Falló")</f>
        <v/>
      </c>
    </row>
    <row r="14">
      <c r="A14" s="8" t="inlineStr">
        <is>
          <t>Bloqueados</t>
        </is>
      </c>
      <c r="B14" s="11">
        <f>COUNTIF('Casos de Prueba'!$J$2:$J$66,"Bloqueado")</f>
        <v/>
      </c>
    </row>
    <row r="15">
      <c r="A15" s="8" t="inlineStr">
        <is>
          <t>% de avance (ejecutados / total)</t>
        </is>
      </c>
      <c r="B15" s="12">
        <f>IF(B10=0,0,B11/B10)</f>
        <v/>
      </c>
    </row>
    <row r="16">
      <c r="A16" s="8" t="inlineStr">
        <is>
          <t>% de casos pasados (pasaron / ejecutados)</t>
        </is>
      </c>
      <c r="B16" s="12">
        <f>IF(B11=0,0,B12/B11)</f>
        <v/>
      </c>
    </row>
    <row r="17">
      <c r="A17" s="8" t="inlineStr">
        <is>
          <t>Densidad de defectos (fallados / ejecutados)</t>
        </is>
      </c>
      <c r="B17" s="12">
        <f>IF(B11=0,0,B13/B11)</f>
        <v/>
      </c>
    </row>
    <row r="19">
      <c r="A19" s="9" t="inlineStr">
        <is>
          <t>Cobertura por módulo</t>
        </is>
      </c>
      <c r="B19" s="13" t="inlineStr">
        <is>
          <t>Casos</t>
        </is>
      </c>
      <c r="C19" s="13" t="inlineStr">
        <is>
          <t>Ejecutados</t>
        </is>
      </c>
      <c r="D19" s="13" t="inlineStr">
        <is>
          <t>Pasaron</t>
        </is>
      </c>
      <c r="E19" s="13" t="inlineStr">
        <is>
          <t>Fallaron</t>
        </is>
      </c>
      <c r="F19" s="13" t="inlineStr">
        <is>
          <t>% pasados</t>
        </is>
      </c>
    </row>
    <row r="20">
      <c r="A20" s="8" t="inlineStr">
        <is>
          <t>Autenticación</t>
        </is>
      </c>
      <c r="B20" s="11">
        <f>COUNTIF('Casos de Prueba'!$B$2:$B$66,$A20)</f>
        <v/>
      </c>
      <c r="C20" s="11">
        <f>COUNTIFS('Casos de Prueba'!$B$2:$B$66,$A20,'Casos de Prueba'!$J$2:$J$66,"Pasó")+COUNTIFS('Casos de Prueba'!$B$2:$B$66,$A20,'Casos de Prueba'!$J$2:$J$66,"Falló")</f>
        <v/>
      </c>
      <c r="D20" s="11">
        <f>COUNTIFS('Casos de Prueba'!$B$2:$B$66,$A20,'Casos de Prueba'!$J$2:$J$66,"Pasó")</f>
        <v/>
      </c>
      <c r="E20" s="11">
        <f>COUNTIFS('Casos de Prueba'!$B$2:$B$66,$A20,'Casos de Prueba'!$J$2:$J$66,"Falló")</f>
        <v/>
      </c>
      <c r="F20" s="12">
        <f>IF(C20=0,0,D20/C20)</f>
        <v/>
      </c>
    </row>
    <row r="21">
      <c r="A21" s="8" t="inlineStr">
        <is>
          <t>Recuperación de contraseña</t>
        </is>
      </c>
      <c r="B21" s="11">
        <f>COUNTIF('Casos de Prueba'!$B$2:$B$66,$A21)</f>
        <v/>
      </c>
      <c r="C21" s="11">
        <f>COUNTIFS('Casos de Prueba'!$B$2:$B$66,$A21,'Casos de Prueba'!$J$2:$J$66,"Pasó")+COUNTIFS('Casos de Prueba'!$B$2:$B$66,$A21,'Casos de Prueba'!$J$2:$J$66,"Falló")</f>
        <v/>
      </c>
      <c r="D21" s="11">
        <f>COUNTIFS('Casos de Prueba'!$B$2:$B$66,$A21,'Casos de Prueba'!$J$2:$J$66,"Pasó")</f>
        <v/>
      </c>
      <c r="E21" s="11">
        <f>COUNTIFS('Casos de Prueba'!$B$2:$B$66,$A21,'Casos de Prueba'!$J$2:$J$66,"Falló")</f>
        <v/>
      </c>
      <c r="F21" s="12">
        <f>IF(C21=0,0,D21/C21)</f>
        <v/>
      </c>
    </row>
    <row r="22">
      <c r="A22" s="8" t="inlineStr">
        <is>
          <t>Perfil (validación de campos)</t>
        </is>
      </c>
      <c r="B22" s="11">
        <f>COUNTIF('Casos de Prueba'!$B$2:$B$66,$A22)</f>
        <v/>
      </c>
      <c r="C22" s="11">
        <f>COUNTIFS('Casos de Prueba'!$B$2:$B$66,$A22,'Casos de Prueba'!$J$2:$J$66,"Pasó")+COUNTIFS('Casos de Prueba'!$B$2:$B$66,$A22,'Casos de Prueba'!$J$2:$J$66,"Falló")</f>
        <v/>
      </c>
      <c r="D22" s="11">
        <f>COUNTIFS('Casos de Prueba'!$B$2:$B$66,$A22,'Casos de Prueba'!$J$2:$J$66,"Pasó")</f>
        <v/>
      </c>
      <c r="E22" s="11">
        <f>COUNTIFS('Casos de Prueba'!$B$2:$B$66,$A22,'Casos de Prueba'!$J$2:$J$66,"Falló")</f>
        <v/>
      </c>
      <c r="F22" s="12">
        <f>IF(C22=0,0,D22/C22)</f>
        <v/>
      </c>
    </row>
    <row r="23">
      <c r="A23" s="8" t="inlineStr">
        <is>
          <t>Divisa global</t>
        </is>
      </c>
      <c r="B23" s="11">
        <f>COUNTIF('Casos de Prueba'!$B$2:$B$66,$A23)</f>
        <v/>
      </c>
      <c r="C23" s="11">
        <f>COUNTIFS('Casos de Prueba'!$B$2:$B$66,$A23,'Casos de Prueba'!$J$2:$J$66,"Pasó")+COUNTIFS('Casos de Prueba'!$B$2:$B$66,$A23,'Casos de Prueba'!$J$2:$J$66,"Falló")</f>
        <v/>
      </c>
      <c r="D23" s="11">
        <f>COUNTIFS('Casos de Prueba'!$B$2:$B$66,$A23,'Casos de Prueba'!$J$2:$J$66,"Pasó")</f>
        <v/>
      </c>
      <c r="E23" s="11">
        <f>COUNTIFS('Casos de Prueba'!$B$2:$B$66,$A23,'Casos de Prueba'!$J$2:$J$66,"Falló")</f>
        <v/>
      </c>
      <c r="F23" s="12">
        <f>IF(C23=0,0,D23/C23)</f>
        <v/>
      </c>
    </row>
    <row r="24">
      <c r="A24" s="8" t="inlineStr">
        <is>
          <t>Resultados de búsqueda</t>
        </is>
      </c>
      <c r="B24" s="11">
        <f>COUNTIF('Casos de Prueba'!$B$2:$B$66,$A24)</f>
        <v/>
      </c>
      <c r="C24" s="11">
        <f>COUNTIFS('Casos de Prueba'!$B$2:$B$66,$A24,'Casos de Prueba'!$J$2:$J$66,"Pasó")+COUNTIFS('Casos de Prueba'!$B$2:$B$66,$A24,'Casos de Prueba'!$J$2:$J$66,"Falló")</f>
        <v/>
      </c>
      <c r="D24" s="11">
        <f>COUNTIFS('Casos de Prueba'!$B$2:$B$66,$A24,'Casos de Prueba'!$J$2:$J$66,"Pasó")</f>
        <v/>
      </c>
      <c r="E24" s="11">
        <f>COUNTIFS('Casos de Prueba'!$B$2:$B$66,$A24,'Casos de Prueba'!$J$2:$J$66,"Falló")</f>
        <v/>
      </c>
      <c r="F24" s="12">
        <f>IF(C24=0,0,D24/C24)</f>
        <v/>
      </c>
    </row>
    <row r="25">
      <c r="A25" s="8" t="inlineStr">
        <is>
          <t>Topbar y navegación</t>
        </is>
      </c>
      <c r="B25" s="11">
        <f>COUNTIF('Casos de Prueba'!$B$2:$B$66,$A25)</f>
        <v/>
      </c>
      <c r="C25" s="11">
        <f>COUNTIFS('Casos de Prueba'!$B$2:$B$66,$A25,'Casos de Prueba'!$J$2:$J$66,"Pasó")+COUNTIFS('Casos de Prueba'!$B$2:$B$66,$A25,'Casos de Prueba'!$J$2:$J$66,"Falló")</f>
        <v/>
      </c>
      <c r="D25" s="11">
        <f>COUNTIFS('Casos de Prueba'!$B$2:$B$66,$A25,'Casos de Prueba'!$J$2:$J$66,"Pasó")</f>
        <v/>
      </c>
      <c r="E25" s="11">
        <f>COUNTIFS('Casos de Prueba'!$B$2:$B$66,$A25,'Casos de Prueba'!$J$2:$J$66,"Falló")</f>
        <v/>
      </c>
      <c r="F25" s="12">
        <f>IF(C25=0,0,D25/C25)</f>
        <v/>
      </c>
    </row>
    <row r="26">
      <c r="A26" s="8" t="inlineStr">
        <is>
          <t>Seguridad</t>
        </is>
      </c>
      <c r="B26" s="11">
        <f>COUNTIF('Casos de Prueba'!$B$2:$B$66,$A26)</f>
        <v/>
      </c>
      <c r="C26" s="11">
        <f>COUNTIFS('Casos de Prueba'!$B$2:$B$66,$A26,'Casos de Prueba'!$J$2:$J$66,"Pasó")+COUNTIFS('Casos de Prueba'!$B$2:$B$66,$A26,'Casos de Prueba'!$J$2:$J$66,"Falló")</f>
        <v/>
      </c>
      <c r="D26" s="11">
        <f>COUNTIFS('Casos de Prueba'!$B$2:$B$66,$A26,'Casos de Prueba'!$J$2:$J$66,"Pasó")</f>
        <v/>
      </c>
      <c r="E26" s="11">
        <f>COUNTIFS('Casos de Prueba'!$B$2:$B$66,$A26,'Casos de Prueba'!$J$2:$J$66,"Falló")</f>
        <v/>
      </c>
      <c r="F26" s="12">
        <f>IF(C26=0,0,D26/C26)</f>
        <v/>
      </c>
    </row>
    <row r="27">
      <c r="A27" s="8" t="inlineStr">
        <is>
          <t>Integración de APIs (manejo de fallos)</t>
        </is>
      </c>
      <c r="B27" s="11">
        <f>COUNTIF('Casos de Prueba'!$B$2:$B$66,$A27)</f>
        <v/>
      </c>
      <c r="C27" s="11">
        <f>COUNTIFS('Casos de Prueba'!$B$2:$B$66,$A27,'Casos de Prueba'!$J$2:$J$66,"Pasó")+COUNTIFS('Casos de Prueba'!$B$2:$B$66,$A27,'Casos de Prueba'!$J$2:$J$66,"Falló")</f>
        <v/>
      </c>
      <c r="D27" s="11">
        <f>COUNTIFS('Casos de Prueba'!$B$2:$B$66,$A27,'Casos de Prueba'!$J$2:$J$66,"Pasó")</f>
        <v/>
      </c>
      <c r="E27" s="11">
        <f>COUNTIFS('Casos de Prueba'!$B$2:$B$66,$A27,'Casos de Prueba'!$J$2:$J$66,"Falló")</f>
        <v/>
      </c>
      <c r="F27" s="12">
        <f>IF(C27=0,0,D27/C27)</f>
        <v/>
      </c>
    </row>
    <row r="28">
      <c r="A28" s="8" t="inlineStr">
        <is>
          <t>Compatibilidad, responsive y datos</t>
        </is>
      </c>
      <c r="B28" s="11">
        <f>COUNTIF('Casos de Prueba'!$B$2:$B$66,$A28)</f>
        <v/>
      </c>
      <c r="C28" s="11">
        <f>COUNTIFS('Casos de Prueba'!$B$2:$B$66,$A28,'Casos de Prueba'!$J$2:$J$66,"Pasó")+COUNTIFS('Casos de Prueba'!$B$2:$B$66,$A28,'Casos de Prueba'!$J$2:$J$66,"Falló")</f>
        <v/>
      </c>
      <c r="D28" s="11">
        <f>COUNTIFS('Casos de Prueba'!$B$2:$B$66,$A28,'Casos de Prueba'!$J$2:$J$66,"Pasó")</f>
        <v/>
      </c>
      <c r="E28" s="11">
        <f>COUNTIFS('Casos de Prueba'!$B$2:$B$66,$A28,'Casos de Prueba'!$J$2:$J$66,"Falló")</f>
        <v/>
      </c>
      <c r="F28" s="12">
        <f>IF(C28=0,0,D28/C28)</f>
        <v/>
      </c>
    </row>
    <row r="29">
      <c r="A29" s="7" t="inlineStr">
        <is>
          <t>TOTAL</t>
        </is>
      </c>
      <c r="B29" s="14">
        <f>SUM(B20:B28)</f>
        <v/>
      </c>
      <c r="C29" s="14">
        <f>SUM(C20:C28)</f>
        <v/>
      </c>
      <c r="D29" s="14">
        <f>SUM(D20:D28)</f>
        <v/>
      </c>
      <c r="E29" s="14">
        <f>SUM(E20:E28)</f>
        <v/>
      </c>
      <c r="F29" s="15">
        <f>IF(C29=0,0,D29/C29)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2026-07-16T02:26:00Z</dcterms:created>
  <dcterms:modified xsi:type="dcterms:W3CDTF">2026-07-16T02:26:01Z</dcterms:modified>
</cp:coreProperties>
</file>